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williams/GoogleDrive_Princeton/Research/projects_and_data/spectrum_farms/"/>
    </mc:Choice>
  </mc:AlternateContent>
  <xr:revisionPtr revIDLastSave="0" documentId="13_ncr:1_{F45FC99C-AD42-CA4E-BB3D-65880F6D7145}" xr6:coauthVersionLast="47" xr6:coauthVersionMax="47" xr10:uidLastSave="{00000000-0000-0000-0000-000000000000}"/>
  <bookViews>
    <workbookView xWindow="14520" yWindow="660" windowWidth="14700" windowHeight="17180" xr2:uid="{5690398C-59F1-6347-BCC4-BBF38ABBA979}"/>
  </bookViews>
  <sheets>
    <sheet name="bl_coare_sweep" sheetId="11" r:id="rId1"/>
    <sheet name="aditya_comp" sheetId="12" r:id="rId2"/>
    <sheet name="slip_res" sheetId="10" r:id="rId3"/>
    <sheet name="spectrum farm" sheetId="5" r:id="rId4"/>
    <sheet name="boundary_layers&gt;ustar_u10" sheetId="6" r:id="rId5"/>
    <sheet name="bl_case_info" sheetId="7" r:id="rId6"/>
    <sheet name="fullh_info" sheetId="9" r:id="rId7"/>
    <sheet name="bl_case_info_old" sheetId="8" r:id="rId8"/>
    <sheet name="finite farm" sheetId="2" r:id="rId9"/>
    <sheet name="single turbine" sheetId="1" r:id="rId10"/>
    <sheet name="placement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1" l="1"/>
  <c r="G30" i="11"/>
  <c r="G29" i="11"/>
  <c r="G28" i="11"/>
  <c r="G27" i="11"/>
  <c r="G26" i="11"/>
  <c r="G25" i="11"/>
  <c r="G24" i="11"/>
  <c r="J24" i="11" s="1"/>
  <c r="G17" i="11"/>
  <c r="G18" i="11"/>
  <c r="G19" i="11"/>
  <c r="G20" i="11"/>
  <c r="G21" i="11"/>
  <c r="J21" i="11" s="1"/>
  <c r="G22" i="11"/>
  <c r="G23" i="11"/>
  <c r="G16" i="11"/>
  <c r="AE31" i="11"/>
  <c r="Z31" i="11"/>
  <c r="AA31" i="11" s="1"/>
  <c r="Y31" i="11"/>
  <c r="AD31" i="11" s="1"/>
  <c r="L31" i="11"/>
  <c r="J31" i="11"/>
  <c r="I31" i="11"/>
  <c r="AE30" i="11"/>
  <c r="Z30" i="11"/>
  <c r="AA30" i="11" s="1"/>
  <c r="Y30" i="11"/>
  <c r="AD30" i="11" s="1"/>
  <c r="L30" i="11"/>
  <c r="J30" i="11"/>
  <c r="I30" i="11"/>
  <c r="AE29" i="11"/>
  <c r="Z29" i="11"/>
  <c r="AA29" i="11" s="1"/>
  <c r="Y29" i="11"/>
  <c r="AD29" i="11" s="1"/>
  <c r="L29" i="11"/>
  <c r="J29" i="11"/>
  <c r="I29" i="11"/>
  <c r="AE28" i="11"/>
  <c r="Z28" i="11"/>
  <c r="AA28" i="11" s="1"/>
  <c r="Y28" i="11"/>
  <c r="AD28" i="11" s="1"/>
  <c r="L28" i="11"/>
  <c r="J28" i="11"/>
  <c r="I28" i="11"/>
  <c r="AE27" i="11"/>
  <c r="Z27" i="11"/>
  <c r="AA27" i="11" s="1"/>
  <c r="Y27" i="11"/>
  <c r="AD27" i="11" s="1"/>
  <c r="L27" i="11"/>
  <c r="J27" i="11"/>
  <c r="I27" i="11"/>
  <c r="AE26" i="11"/>
  <c r="Z26" i="11"/>
  <c r="AA26" i="11" s="1"/>
  <c r="Y26" i="11"/>
  <c r="AD26" i="11" s="1"/>
  <c r="L26" i="11"/>
  <c r="J26" i="11"/>
  <c r="I26" i="11"/>
  <c r="AE25" i="11"/>
  <c r="Z25" i="11"/>
  <c r="AA25" i="11" s="1"/>
  <c r="Y25" i="11"/>
  <c r="AD25" i="11" s="1"/>
  <c r="L25" i="11"/>
  <c r="J25" i="11"/>
  <c r="I25" i="11"/>
  <c r="AE24" i="11"/>
  <c r="Z24" i="11"/>
  <c r="AA24" i="11" s="1"/>
  <c r="Y24" i="11"/>
  <c r="AD24" i="11" s="1"/>
  <c r="L24" i="11"/>
  <c r="I24" i="11"/>
  <c r="AE58" i="11"/>
  <c r="Z58" i="11"/>
  <c r="AA58" i="11" s="1"/>
  <c r="Y58" i="11"/>
  <c r="AD58" i="11" s="1"/>
  <c r="L58" i="11"/>
  <c r="J58" i="11"/>
  <c r="I58" i="11"/>
  <c r="AE57" i="11"/>
  <c r="Z57" i="11"/>
  <c r="AA57" i="11" s="1"/>
  <c r="Y57" i="11"/>
  <c r="AD57" i="11" s="1"/>
  <c r="L57" i="11"/>
  <c r="J57" i="11"/>
  <c r="I57" i="11"/>
  <c r="AE56" i="11"/>
  <c r="Z56" i="11"/>
  <c r="AA56" i="11" s="1"/>
  <c r="Y56" i="11"/>
  <c r="AD56" i="11" s="1"/>
  <c r="L56" i="11"/>
  <c r="J56" i="11"/>
  <c r="I56" i="11"/>
  <c r="AE55" i="11"/>
  <c r="Z55" i="11"/>
  <c r="AA55" i="11" s="1"/>
  <c r="Y55" i="11"/>
  <c r="AB55" i="11" s="1"/>
  <c r="L55" i="11"/>
  <c r="J55" i="11"/>
  <c r="I55" i="11"/>
  <c r="AE54" i="11"/>
  <c r="Z54" i="11"/>
  <c r="AA54" i="11" s="1"/>
  <c r="Y54" i="11"/>
  <c r="AD54" i="11" s="1"/>
  <c r="L54" i="11"/>
  <c r="J54" i="11"/>
  <c r="I54" i="11"/>
  <c r="AE53" i="11"/>
  <c r="Z53" i="11"/>
  <c r="AA53" i="11" s="1"/>
  <c r="Y53" i="11"/>
  <c r="AD53" i="11" s="1"/>
  <c r="L53" i="11"/>
  <c r="J53" i="11"/>
  <c r="I53" i="11"/>
  <c r="AE52" i="11"/>
  <c r="Z52" i="11"/>
  <c r="AA52" i="11" s="1"/>
  <c r="Y52" i="11"/>
  <c r="AD52" i="11" s="1"/>
  <c r="L52" i="11"/>
  <c r="J52" i="11"/>
  <c r="I52" i="11"/>
  <c r="AE51" i="11"/>
  <c r="Z51" i="11"/>
  <c r="AA51" i="11" s="1"/>
  <c r="Y51" i="11"/>
  <c r="AD51" i="11" s="1"/>
  <c r="L51" i="11"/>
  <c r="J51" i="11"/>
  <c r="I51" i="11"/>
  <c r="AE50" i="11"/>
  <c r="Z50" i="11"/>
  <c r="AA50" i="11" s="1"/>
  <c r="Y50" i="11"/>
  <c r="AD50" i="11" s="1"/>
  <c r="L50" i="11"/>
  <c r="J50" i="11"/>
  <c r="I50" i="11"/>
  <c r="AE49" i="11"/>
  <c r="Z49" i="11"/>
  <c r="AA49" i="11" s="1"/>
  <c r="Y49" i="11"/>
  <c r="AD49" i="11" s="1"/>
  <c r="L49" i="11"/>
  <c r="J49" i="11"/>
  <c r="I49" i="11"/>
  <c r="AE48" i="11"/>
  <c r="Z48" i="11"/>
  <c r="AA48" i="11" s="1"/>
  <c r="Y48" i="11"/>
  <c r="AD48" i="11" s="1"/>
  <c r="L48" i="11"/>
  <c r="J48" i="11"/>
  <c r="I48" i="11"/>
  <c r="AE47" i="11"/>
  <c r="Z47" i="11"/>
  <c r="AA47" i="11" s="1"/>
  <c r="Y47" i="11"/>
  <c r="AD47" i="11" s="1"/>
  <c r="L47" i="11"/>
  <c r="J47" i="11"/>
  <c r="I47" i="11"/>
  <c r="AE46" i="11"/>
  <c r="Z46" i="11"/>
  <c r="AA46" i="11" s="1"/>
  <c r="Y46" i="11"/>
  <c r="AD46" i="11" s="1"/>
  <c r="L46" i="11"/>
  <c r="J46" i="11"/>
  <c r="I46" i="11"/>
  <c r="AE45" i="11"/>
  <c r="Z45" i="11"/>
  <c r="AA45" i="11" s="1"/>
  <c r="Y45" i="11"/>
  <c r="AD45" i="11" s="1"/>
  <c r="L45" i="11"/>
  <c r="J45" i="11"/>
  <c r="I45" i="11"/>
  <c r="AE44" i="11"/>
  <c r="Z44" i="11"/>
  <c r="AA44" i="11" s="1"/>
  <c r="Y44" i="11"/>
  <c r="AD44" i="11" s="1"/>
  <c r="L44" i="11"/>
  <c r="J44" i="11"/>
  <c r="I44" i="11"/>
  <c r="AE43" i="11"/>
  <c r="Z43" i="11"/>
  <c r="AA43" i="11" s="1"/>
  <c r="Y43" i="11"/>
  <c r="AD43" i="11" s="1"/>
  <c r="L43" i="11"/>
  <c r="J43" i="11"/>
  <c r="I43" i="11"/>
  <c r="AE42" i="11"/>
  <c r="Z42" i="11"/>
  <c r="AA42" i="11" s="1"/>
  <c r="Y42" i="11"/>
  <c r="AB42" i="11" s="1"/>
  <c r="L42" i="11"/>
  <c r="J42" i="11"/>
  <c r="I42" i="11"/>
  <c r="AE41" i="11"/>
  <c r="Z41" i="11"/>
  <c r="AA41" i="11" s="1"/>
  <c r="Y41" i="11"/>
  <c r="AD41" i="11" s="1"/>
  <c r="L41" i="11"/>
  <c r="J41" i="11"/>
  <c r="I41" i="11"/>
  <c r="AE40" i="11"/>
  <c r="Z40" i="11"/>
  <c r="AA40" i="11" s="1"/>
  <c r="Y40" i="11"/>
  <c r="AC40" i="11" s="1"/>
  <c r="L40" i="11"/>
  <c r="J40" i="11"/>
  <c r="I40" i="11"/>
  <c r="AE39" i="11"/>
  <c r="Z39" i="11"/>
  <c r="AA39" i="11" s="1"/>
  <c r="Y39" i="11"/>
  <c r="AD39" i="11" s="1"/>
  <c r="L39" i="11"/>
  <c r="J39" i="11"/>
  <c r="I39" i="11"/>
  <c r="AE38" i="11"/>
  <c r="Z38" i="11"/>
  <c r="AA38" i="11" s="1"/>
  <c r="Y38" i="11"/>
  <c r="AD38" i="11" s="1"/>
  <c r="L38" i="11"/>
  <c r="J38" i="11"/>
  <c r="I38" i="11"/>
  <c r="AE36" i="11"/>
  <c r="Z36" i="11"/>
  <c r="AA36" i="11" s="1"/>
  <c r="Y36" i="11"/>
  <c r="AC36" i="11" s="1"/>
  <c r="L36" i="11"/>
  <c r="J36" i="11"/>
  <c r="I36" i="11"/>
  <c r="AE37" i="11"/>
  <c r="Z37" i="11"/>
  <c r="AA37" i="11" s="1"/>
  <c r="Y37" i="11"/>
  <c r="AD37" i="11" s="1"/>
  <c r="L37" i="11"/>
  <c r="J37" i="11"/>
  <c r="I37" i="11"/>
  <c r="AE35" i="11"/>
  <c r="Z35" i="11"/>
  <c r="AA35" i="11" s="1"/>
  <c r="Y35" i="11"/>
  <c r="AC35" i="11" s="1"/>
  <c r="L35" i="11"/>
  <c r="J35" i="11"/>
  <c r="I35" i="11"/>
  <c r="AE33" i="11"/>
  <c r="Z33" i="11"/>
  <c r="AA33" i="11" s="1"/>
  <c r="Y33" i="11"/>
  <c r="AD33" i="11" s="1"/>
  <c r="L33" i="11"/>
  <c r="AE32" i="11"/>
  <c r="Z32" i="11"/>
  <c r="AA32" i="11" s="1"/>
  <c r="Y32" i="11"/>
  <c r="AD32" i="11" s="1"/>
  <c r="L32" i="11"/>
  <c r="I33" i="11"/>
  <c r="J33" i="11"/>
  <c r="I32" i="11"/>
  <c r="J32" i="11"/>
  <c r="AE23" i="11"/>
  <c r="Z23" i="11"/>
  <c r="AA23" i="11" s="1"/>
  <c r="Y23" i="11"/>
  <c r="AD23" i="11" s="1"/>
  <c r="L23" i="11"/>
  <c r="J23" i="11"/>
  <c r="I23" i="11"/>
  <c r="AE21" i="11"/>
  <c r="Z21" i="11"/>
  <c r="AA21" i="11" s="1"/>
  <c r="Y21" i="11"/>
  <c r="AD21" i="11" s="1"/>
  <c r="L21" i="11"/>
  <c r="I21" i="11"/>
  <c r="AE20" i="11"/>
  <c r="Z20" i="11"/>
  <c r="AA20" i="11" s="1"/>
  <c r="Y20" i="11"/>
  <c r="AD20" i="11" s="1"/>
  <c r="L20" i="11"/>
  <c r="J20" i="11"/>
  <c r="I20" i="11"/>
  <c r="AE19" i="11"/>
  <c r="Z19" i="11"/>
  <c r="AA19" i="11" s="1"/>
  <c r="Y19" i="11"/>
  <c r="AD19" i="11" s="1"/>
  <c r="L19" i="11"/>
  <c r="J19" i="11"/>
  <c r="I19" i="11"/>
  <c r="AE18" i="11"/>
  <c r="Z18" i="11"/>
  <c r="AA18" i="11" s="1"/>
  <c r="Y18" i="11"/>
  <c r="AB18" i="11" s="1"/>
  <c r="L18" i="11"/>
  <c r="J18" i="11"/>
  <c r="I18" i="11"/>
  <c r="AE17" i="11"/>
  <c r="Z17" i="11"/>
  <c r="AA17" i="11" s="1"/>
  <c r="Y17" i="11"/>
  <c r="AD17" i="11" s="1"/>
  <c r="L17" i="11"/>
  <c r="J17" i="11"/>
  <c r="I17" i="11"/>
  <c r="AE16" i="11"/>
  <c r="Z16" i="11"/>
  <c r="AA16" i="11" s="1"/>
  <c r="Y16" i="11"/>
  <c r="AD16" i="11" s="1"/>
  <c r="L16" i="11"/>
  <c r="J16" i="11"/>
  <c r="I16" i="11"/>
  <c r="AE22" i="11"/>
  <c r="Z22" i="11"/>
  <c r="AA22" i="11" s="1"/>
  <c r="Y22" i="11"/>
  <c r="AD22" i="11" s="1"/>
  <c r="L22" i="11"/>
  <c r="J22" i="11"/>
  <c r="I22" i="11"/>
  <c r="AE14" i="11"/>
  <c r="Z14" i="11"/>
  <c r="AA14" i="11" s="1"/>
  <c r="Y14" i="11"/>
  <c r="AD14" i="11" s="1"/>
  <c r="L14" i="11"/>
  <c r="AE12" i="11"/>
  <c r="Z12" i="11"/>
  <c r="AA12" i="11" s="1"/>
  <c r="Y12" i="11"/>
  <c r="AB12" i="11" s="1"/>
  <c r="L12" i="11"/>
  <c r="I14" i="11"/>
  <c r="J14" i="11"/>
  <c r="I12" i="11"/>
  <c r="J12" i="11"/>
  <c r="AE13" i="11"/>
  <c r="Z13" i="11"/>
  <c r="AA13" i="11" s="1"/>
  <c r="Y13" i="11"/>
  <c r="AD13" i="11" s="1"/>
  <c r="L13" i="11"/>
  <c r="J13" i="11"/>
  <c r="I13" i="11"/>
  <c r="U9" i="12"/>
  <c r="U6" i="12"/>
  <c r="L11" i="12"/>
  <c r="L8" i="12"/>
  <c r="L5" i="12"/>
  <c r="L10" i="12"/>
  <c r="L7" i="12"/>
  <c r="L9" i="12"/>
  <c r="L6" i="12"/>
  <c r="L3" i="12"/>
  <c r="X3" i="12" s="1"/>
  <c r="L4" i="12"/>
  <c r="W3" i="12"/>
  <c r="Z11" i="12"/>
  <c r="W11" i="12"/>
  <c r="X11" i="12" s="1"/>
  <c r="V11" i="12"/>
  <c r="U11" i="12"/>
  <c r="Y11" i="12" s="1"/>
  <c r="I11" i="12"/>
  <c r="H11" i="12"/>
  <c r="Y10" i="12"/>
  <c r="W10" i="12"/>
  <c r="V10" i="12"/>
  <c r="U10" i="12"/>
  <c r="Z10" i="12"/>
  <c r="I10" i="12"/>
  <c r="H10" i="12"/>
  <c r="Z9" i="12"/>
  <c r="W9" i="12"/>
  <c r="V9" i="12"/>
  <c r="Y9" i="12"/>
  <c r="I9" i="12"/>
  <c r="H9" i="12"/>
  <c r="Z8" i="12"/>
  <c r="W8" i="12"/>
  <c r="V8" i="12"/>
  <c r="U8" i="12"/>
  <c r="Y8" i="12" s="1"/>
  <c r="I8" i="12"/>
  <c r="H8" i="12"/>
  <c r="V7" i="12"/>
  <c r="I7" i="12"/>
  <c r="H7" i="12"/>
  <c r="V6" i="12"/>
  <c r="I6" i="12"/>
  <c r="H6" i="12"/>
  <c r="V5" i="12"/>
  <c r="I5" i="12"/>
  <c r="H5" i="12"/>
  <c r="V4" i="12"/>
  <c r="W4" i="12"/>
  <c r="I4" i="12"/>
  <c r="H4" i="12"/>
  <c r="V3" i="12"/>
  <c r="I3" i="12"/>
  <c r="H3" i="12"/>
  <c r="AA18" i="10"/>
  <c r="X18" i="10"/>
  <c r="Y18" i="10" s="1"/>
  <c r="W18" i="10"/>
  <c r="V18" i="10"/>
  <c r="Z18" i="10" s="1"/>
  <c r="I18" i="10"/>
  <c r="H18" i="10"/>
  <c r="W22" i="10"/>
  <c r="W21" i="10"/>
  <c r="W20" i="10"/>
  <c r="W19" i="10"/>
  <c r="W17" i="10"/>
  <c r="W16" i="10"/>
  <c r="W15" i="10"/>
  <c r="W14" i="10"/>
  <c r="W13" i="10"/>
  <c r="W11" i="10"/>
  <c r="W4" i="10"/>
  <c r="W5" i="10"/>
  <c r="W6" i="10"/>
  <c r="W7" i="10"/>
  <c r="W8" i="10"/>
  <c r="W9" i="10"/>
  <c r="W10" i="10"/>
  <c r="W3" i="10"/>
  <c r="N22" i="10"/>
  <c r="AA22" i="10" s="1"/>
  <c r="N21" i="10"/>
  <c r="AA21" i="10" s="1"/>
  <c r="N20" i="10"/>
  <c r="N15" i="10"/>
  <c r="AA15" i="10" s="1"/>
  <c r="N14" i="10"/>
  <c r="AA14" i="10" s="1"/>
  <c r="N13" i="10"/>
  <c r="AA13" i="10" s="1"/>
  <c r="M8" i="10"/>
  <c r="AA8" i="10" s="1"/>
  <c r="M7" i="10"/>
  <c r="V7" i="10" s="1"/>
  <c r="Z7" i="10" s="1"/>
  <c r="M6" i="10"/>
  <c r="AA6" i="10" s="1"/>
  <c r="X22" i="10"/>
  <c r="Y22" i="10" s="1"/>
  <c r="V22" i="10"/>
  <c r="Z22" i="10" s="1"/>
  <c r="K22" i="10"/>
  <c r="I22" i="10"/>
  <c r="H22" i="10"/>
  <c r="X21" i="10"/>
  <c r="Y21" i="10" s="1"/>
  <c r="V21" i="10"/>
  <c r="Z21" i="10" s="1"/>
  <c r="K21" i="10"/>
  <c r="I21" i="10"/>
  <c r="H21" i="10"/>
  <c r="AA20" i="10"/>
  <c r="X20" i="10"/>
  <c r="Y20" i="10" s="1"/>
  <c r="V20" i="10"/>
  <c r="Z20" i="10" s="1"/>
  <c r="K20" i="10"/>
  <c r="I20" i="10"/>
  <c r="H20" i="10"/>
  <c r="AA19" i="10"/>
  <c r="X19" i="10"/>
  <c r="Y19" i="10" s="1"/>
  <c r="V19" i="10"/>
  <c r="Z19" i="10" s="1"/>
  <c r="K19" i="10"/>
  <c r="I19" i="10"/>
  <c r="H19" i="10"/>
  <c r="AA17" i="10"/>
  <c r="X17" i="10"/>
  <c r="Y17" i="10" s="1"/>
  <c r="V17" i="10"/>
  <c r="Z17" i="10" s="1"/>
  <c r="K17" i="10"/>
  <c r="I17" i="10"/>
  <c r="H17" i="10"/>
  <c r="AA16" i="10"/>
  <c r="X16" i="10"/>
  <c r="Y16" i="10" s="1"/>
  <c r="V16" i="10"/>
  <c r="Z16" i="10" s="1"/>
  <c r="K16" i="10"/>
  <c r="I16" i="10"/>
  <c r="H16" i="10"/>
  <c r="X15" i="10"/>
  <c r="Y15" i="10" s="1"/>
  <c r="V15" i="10"/>
  <c r="Z15" i="10" s="1"/>
  <c r="K15" i="10"/>
  <c r="I15" i="10"/>
  <c r="H15" i="10"/>
  <c r="X14" i="10"/>
  <c r="Y14" i="10" s="1"/>
  <c r="V14" i="10"/>
  <c r="Z14" i="10" s="1"/>
  <c r="K14" i="10"/>
  <c r="I14" i="10"/>
  <c r="H14" i="10"/>
  <c r="X13" i="10"/>
  <c r="Y13" i="10" s="1"/>
  <c r="V13" i="10"/>
  <c r="Z13" i="10" s="1"/>
  <c r="K13" i="10"/>
  <c r="I13" i="10"/>
  <c r="H13" i="10"/>
  <c r="AE3" i="11"/>
  <c r="Z3" i="11"/>
  <c r="AA3" i="11" s="1"/>
  <c r="Y3" i="11"/>
  <c r="AB3" i="11" s="1"/>
  <c r="L3" i="11"/>
  <c r="J3" i="11"/>
  <c r="I3" i="11"/>
  <c r="L4" i="11"/>
  <c r="L8" i="11"/>
  <c r="L5" i="11"/>
  <c r="L6" i="11"/>
  <c r="L7" i="11"/>
  <c r="Z10" i="11"/>
  <c r="AA10" i="11" s="1"/>
  <c r="Y10" i="11"/>
  <c r="AC10" i="11" s="1"/>
  <c r="AE10" i="11"/>
  <c r="L10" i="11"/>
  <c r="J10" i="11"/>
  <c r="I10" i="11"/>
  <c r="Z9" i="11"/>
  <c r="AA9" i="11" s="1"/>
  <c r="Y9" i="11"/>
  <c r="AB9" i="11" s="1"/>
  <c r="AE9" i="11"/>
  <c r="L9" i="11"/>
  <c r="J9" i="11"/>
  <c r="I9" i="11"/>
  <c r="AE8" i="11"/>
  <c r="Z8" i="11"/>
  <c r="AA8" i="11" s="1"/>
  <c r="Y8" i="11"/>
  <c r="AD8" i="11" s="1"/>
  <c r="J8" i="11"/>
  <c r="I8" i="11"/>
  <c r="AE7" i="11"/>
  <c r="Z7" i="11"/>
  <c r="AA7" i="11" s="1"/>
  <c r="Y7" i="11"/>
  <c r="AC7" i="11" s="1"/>
  <c r="J7" i="11"/>
  <c r="I7" i="11"/>
  <c r="AE6" i="11"/>
  <c r="Z6" i="11"/>
  <c r="AA6" i="11" s="1"/>
  <c r="Y6" i="11"/>
  <c r="AC6" i="11" s="1"/>
  <c r="J6" i="11"/>
  <c r="I6" i="11"/>
  <c r="AE5" i="11"/>
  <c r="Z5" i="11"/>
  <c r="AA5" i="11" s="1"/>
  <c r="Y5" i="11"/>
  <c r="AB5" i="11" s="1"/>
  <c r="J5" i="11"/>
  <c r="I5" i="11"/>
  <c r="AE4" i="11"/>
  <c r="Z4" i="11"/>
  <c r="AA4" i="11" s="1"/>
  <c r="Y4" i="11"/>
  <c r="AB4" i="11" s="1"/>
  <c r="J4" i="11"/>
  <c r="I4" i="11"/>
  <c r="N10" i="10"/>
  <c r="N11" i="10"/>
  <c r="N9" i="10"/>
  <c r="N4" i="10"/>
  <c r="AA4" i="10" s="1"/>
  <c r="N5" i="10"/>
  <c r="AA5" i="10" s="1"/>
  <c r="N3" i="10"/>
  <c r="AA3" i="10" s="1"/>
  <c r="K11" i="10"/>
  <c r="I11" i="10"/>
  <c r="H11" i="10"/>
  <c r="K10" i="10"/>
  <c r="I10" i="10"/>
  <c r="H10" i="10"/>
  <c r="K9" i="10"/>
  <c r="I9" i="10"/>
  <c r="H9" i="10"/>
  <c r="X8" i="10"/>
  <c r="Y8" i="10" s="1"/>
  <c r="V8" i="10"/>
  <c r="Z8" i="10" s="1"/>
  <c r="K8" i="10"/>
  <c r="I8" i="10"/>
  <c r="H8" i="10"/>
  <c r="AA7" i="10"/>
  <c r="X7" i="10"/>
  <c r="Y7" i="10" s="1"/>
  <c r="K7" i="10"/>
  <c r="I7" i="10"/>
  <c r="H7" i="10"/>
  <c r="V6" i="10"/>
  <c r="Z6" i="10" s="1"/>
  <c r="K6" i="10"/>
  <c r="I6" i="10"/>
  <c r="H6" i="10"/>
  <c r="X5" i="10"/>
  <c r="Y5" i="10" s="1"/>
  <c r="V5" i="10"/>
  <c r="Z5" i="10" s="1"/>
  <c r="K5" i="10"/>
  <c r="I5" i="10"/>
  <c r="H5" i="10"/>
  <c r="V4" i="10"/>
  <c r="Z4" i="10" s="1"/>
  <c r="V3" i="10"/>
  <c r="Z3" i="10" s="1"/>
  <c r="X4" i="10"/>
  <c r="Y4" i="10" s="1"/>
  <c r="X3" i="10"/>
  <c r="Y3" i="10" s="1"/>
  <c r="K3" i="10"/>
  <c r="K4" i="10"/>
  <c r="I3" i="10"/>
  <c r="H3" i="10"/>
  <c r="I4" i="10"/>
  <c r="H4" i="10"/>
  <c r="Z9" i="7"/>
  <c r="Z18" i="7"/>
  <c r="Z24" i="7"/>
  <c r="Z25" i="7"/>
  <c r="Z26" i="7"/>
  <c r="Z27" i="7"/>
  <c r="Z28" i="7"/>
  <c r="Z29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3" i="7"/>
  <c r="I20" i="7"/>
  <c r="H20" i="7"/>
  <c r="I12" i="7"/>
  <c r="H12" i="7"/>
  <c r="AB20" i="7"/>
  <c r="AC20" i="7"/>
  <c r="Y20" i="7"/>
  <c r="Z20" i="7" s="1"/>
  <c r="T20" i="7"/>
  <c r="U20" i="7"/>
  <c r="V20" i="7" s="1"/>
  <c r="T12" i="7"/>
  <c r="U12" i="7"/>
  <c r="V12" i="7" s="1"/>
  <c r="AC12" i="7"/>
  <c r="AB12" i="7"/>
  <c r="Y12" i="7"/>
  <c r="Z12" i="7" s="1"/>
  <c r="AE8" i="7"/>
  <c r="AA8" i="7"/>
  <c r="X8" i="7"/>
  <c r="W8" i="7"/>
  <c r="AB8" i="7" s="1"/>
  <c r="U8" i="7"/>
  <c r="V8" i="7" s="1"/>
  <c r="T8" i="7"/>
  <c r="I8" i="7"/>
  <c r="H8" i="7"/>
  <c r="AE7" i="7"/>
  <c r="AA7" i="7"/>
  <c r="X7" i="7"/>
  <c r="W7" i="7"/>
  <c r="AB7" i="7" s="1"/>
  <c r="U7" i="7"/>
  <c r="V7" i="7" s="1"/>
  <c r="T7" i="7"/>
  <c r="I7" i="7"/>
  <c r="H7" i="7"/>
  <c r="Y9" i="7"/>
  <c r="AE4" i="7"/>
  <c r="AE5" i="7"/>
  <c r="AE6" i="7"/>
  <c r="AE9" i="7"/>
  <c r="AE10" i="7"/>
  <c r="AE11" i="7"/>
  <c r="AE13" i="7"/>
  <c r="AE14" i="7"/>
  <c r="AE15" i="7"/>
  <c r="AE16" i="7"/>
  <c r="AE17" i="7"/>
  <c r="AE18" i="7"/>
  <c r="AE19" i="7"/>
  <c r="AE3" i="7"/>
  <c r="R22" i="9"/>
  <c r="Q22" i="9"/>
  <c r="T22" i="9" s="1"/>
  <c r="P22" i="9"/>
  <c r="S22" i="9" s="1"/>
  <c r="R21" i="9"/>
  <c r="Q21" i="9"/>
  <c r="T21" i="9" s="1"/>
  <c r="P21" i="9"/>
  <c r="S21" i="9" s="1"/>
  <c r="R20" i="9"/>
  <c r="Q20" i="9"/>
  <c r="P20" i="9"/>
  <c r="S20" i="9" s="1"/>
  <c r="R19" i="9"/>
  <c r="Q19" i="9"/>
  <c r="T19" i="9" s="1"/>
  <c r="P19" i="9"/>
  <c r="S19" i="9" s="1"/>
  <c r="R18" i="9"/>
  <c r="Q18" i="9"/>
  <c r="T18" i="9" s="1"/>
  <c r="P18" i="9"/>
  <c r="S18" i="9" s="1"/>
  <c r="R17" i="9"/>
  <c r="Q17" i="9"/>
  <c r="P17" i="9"/>
  <c r="S17" i="9" s="1"/>
  <c r="R16" i="9"/>
  <c r="Q16" i="9"/>
  <c r="T16" i="9" s="1"/>
  <c r="P16" i="9"/>
  <c r="S16" i="9" s="1"/>
  <c r="R15" i="9"/>
  <c r="Q15" i="9"/>
  <c r="P15" i="9"/>
  <c r="S15" i="9" s="1"/>
  <c r="R14" i="9"/>
  <c r="Q14" i="9"/>
  <c r="P14" i="9"/>
  <c r="S14" i="9" s="1"/>
  <c r="S13" i="9"/>
  <c r="R13" i="9"/>
  <c r="T13" i="9" s="1"/>
  <c r="Q13" i="9"/>
  <c r="P13" i="9"/>
  <c r="R12" i="9"/>
  <c r="Q12" i="9"/>
  <c r="P12" i="9"/>
  <c r="S12" i="9" s="1"/>
  <c r="R11" i="9"/>
  <c r="Q11" i="9"/>
  <c r="P11" i="9"/>
  <c r="S11" i="9" s="1"/>
  <c r="R10" i="9"/>
  <c r="Q10" i="9"/>
  <c r="P10" i="9"/>
  <c r="S10" i="9" s="1"/>
  <c r="R9" i="9"/>
  <c r="Q9" i="9"/>
  <c r="P9" i="9"/>
  <c r="S9" i="9" s="1"/>
  <c r="R8" i="9"/>
  <c r="Q8" i="9"/>
  <c r="P8" i="9"/>
  <c r="S8" i="9" s="1"/>
  <c r="S7" i="9"/>
  <c r="R7" i="9"/>
  <c r="T7" i="9" s="1"/>
  <c r="Q7" i="9"/>
  <c r="P7" i="9"/>
  <c r="R6" i="9"/>
  <c r="Q6" i="9"/>
  <c r="T6" i="9" s="1"/>
  <c r="P6" i="9"/>
  <c r="S6" i="9" s="1"/>
  <c r="R5" i="9"/>
  <c r="T5" i="9" s="1"/>
  <c r="Q5" i="9"/>
  <c r="P5" i="9"/>
  <c r="S5" i="9" s="1"/>
  <c r="R4" i="9"/>
  <c r="Q4" i="9"/>
  <c r="P4" i="9"/>
  <c r="S4" i="9" s="1"/>
  <c r="R3" i="9"/>
  <c r="Q3" i="9"/>
  <c r="T3" i="9" s="1"/>
  <c r="P3" i="9"/>
  <c r="S3" i="9" s="1"/>
  <c r="R2" i="9"/>
  <c r="T2" i="9" s="1"/>
  <c r="Q2" i="9"/>
  <c r="P2" i="9"/>
  <c r="S2" i="9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AA6" i="7"/>
  <c r="X6" i="7"/>
  <c r="Y6" i="7" s="1"/>
  <c r="Z6" i="7" s="1"/>
  <c r="W6" i="7"/>
  <c r="AB6" i="7" s="1"/>
  <c r="U6" i="7"/>
  <c r="V6" i="7" s="1"/>
  <c r="T6" i="7"/>
  <c r="I6" i="7"/>
  <c r="H6" i="7"/>
  <c r="X11" i="7"/>
  <c r="AC11" i="7" s="1"/>
  <c r="W11" i="7"/>
  <c r="AB11" i="7" s="1"/>
  <c r="U11" i="7"/>
  <c r="V11" i="7" s="1"/>
  <c r="T11" i="7"/>
  <c r="I11" i="7"/>
  <c r="H11" i="7"/>
  <c r="H14" i="8"/>
  <c r="I14" i="8"/>
  <c r="R14" i="8"/>
  <c r="S14" i="8"/>
  <c r="T14" i="8" s="1"/>
  <c r="U14" i="8"/>
  <c r="X14" i="8" s="1"/>
  <c r="V14" i="8"/>
  <c r="W14" i="8"/>
  <c r="W29" i="8"/>
  <c r="V29" i="8"/>
  <c r="U29" i="8"/>
  <c r="X29" i="8" s="1"/>
  <c r="S29" i="8"/>
  <c r="T29" i="8" s="1"/>
  <c r="R29" i="8"/>
  <c r="I29" i="8"/>
  <c r="H29" i="8"/>
  <c r="W28" i="8"/>
  <c r="V28" i="8"/>
  <c r="U28" i="8"/>
  <c r="X28" i="8" s="1"/>
  <c r="S28" i="8"/>
  <c r="T28" i="8" s="1"/>
  <c r="R28" i="8"/>
  <c r="I28" i="8"/>
  <c r="H28" i="8"/>
  <c r="W27" i="8"/>
  <c r="V27" i="8"/>
  <c r="U27" i="8"/>
  <c r="X27" i="8" s="1"/>
  <c r="S27" i="8"/>
  <c r="T27" i="8" s="1"/>
  <c r="R27" i="8"/>
  <c r="I27" i="8"/>
  <c r="H27" i="8"/>
  <c r="W26" i="8"/>
  <c r="V26" i="8"/>
  <c r="U26" i="8"/>
  <c r="X26" i="8" s="1"/>
  <c r="S26" i="8"/>
  <c r="T26" i="8" s="1"/>
  <c r="R26" i="8"/>
  <c r="I26" i="8"/>
  <c r="H26" i="8"/>
  <c r="W25" i="8"/>
  <c r="V25" i="8"/>
  <c r="U25" i="8"/>
  <c r="X25" i="8" s="1"/>
  <c r="S25" i="8"/>
  <c r="T25" i="8" s="1"/>
  <c r="R25" i="8"/>
  <c r="I25" i="8"/>
  <c r="H25" i="8"/>
  <c r="W24" i="8"/>
  <c r="V24" i="8"/>
  <c r="U24" i="8"/>
  <c r="X24" i="8" s="1"/>
  <c r="S24" i="8"/>
  <c r="T24" i="8" s="1"/>
  <c r="R24" i="8"/>
  <c r="I24" i="8"/>
  <c r="H24" i="8"/>
  <c r="W23" i="8"/>
  <c r="V23" i="8"/>
  <c r="U23" i="8"/>
  <c r="X23" i="8" s="1"/>
  <c r="S23" i="8"/>
  <c r="T23" i="8" s="1"/>
  <c r="R23" i="8"/>
  <c r="I23" i="8"/>
  <c r="H23" i="8"/>
  <c r="W22" i="8"/>
  <c r="V22" i="8"/>
  <c r="U22" i="8"/>
  <c r="X22" i="8" s="1"/>
  <c r="S22" i="8"/>
  <c r="T22" i="8" s="1"/>
  <c r="R22" i="8"/>
  <c r="I22" i="8"/>
  <c r="H22" i="8"/>
  <c r="W21" i="8"/>
  <c r="V21" i="8"/>
  <c r="U21" i="8"/>
  <c r="X21" i="8" s="1"/>
  <c r="S21" i="8"/>
  <c r="T21" i="8" s="1"/>
  <c r="R21" i="8"/>
  <c r="I21" i="8"/>
  <c r="H21" i="8"/>
  <c r="W20" i="8"/>
  <c r="V20" i="8"/>
  <c r="U20" i="8"/>
  <c r="X20" i="8" s="1"/>
  <c r="S20" i="8"/>
  <c r="T20" i="8" s="1"/>
  <c r="R20" i="8"/>
  <c r="I20" i="8"/>
  <c r="H20" i="8"/>
  <c r="W19" i="8"/>
  <c r="V19" i="8"/>
  <c r="U19" i="8"/>
  <c r="X19" i="8" s="1"/>
  <c r="S19" i="8"/>
  <c r="T19" i="8" s="1"/>
  <c r="R19" i="8"/>
  <c r="I19" i="8"/>
  <c r="H19" i="8"/>
  <c r="W18" i="8"/>
  <c r="V18" i="8"/>
  <c r="U18" i="8"/>
  <c r="X18" i="8" s="1"/>
  <c r="S18" i="8"/>
  <c r="T18" i="8" s="1"/>
  <c r="R18" i="8"/>
  <c r="I18" i="8"/>
  <c r="H18" i="8"/>
  <c r="W17" i="8"/>
  <c r="V17" i="8"/>
  <c r="U17" i="8"/>
  <c r="X17" i="8" s="1"/>
  <c r="S17" i="8"/>
  <c r="T17" i="8" s="1"/>
  <c r="R17" i="8"/>
  <c r="I17" i="8"/>
  <c r="H17" i="8"/>
  <c r="W16" i="8"/>
  <c r="V16" i="8"/>
  <c r="Y16" i="8" s="1"/>
  <c r="U16" i="8"/>
  <c r="X16" i="8" s="1"/>
  <c r="S16" i="8"/>
  <c r="T16" i="8" s="1"/>
  <c r="R16" i="8"/>
  <c r="I16" i="8"/>
  <c r="H16" i="8"/>
  <c r="W15" i="8"/>
  <c r="V15" i="8"/>
  <c r="U15" i="8"/>
  <c r="X15" i="8" s="1"/>
  <c r="S15" i="8"/>
  <c r="T15" i="8" s="1"/>
  <c r="R15" i="8"/>
  <c r="I15" i="8"/>
  <c r="H15" i="8"/>
  <c r="W13" i="8"/>
  <c r="V13" i="8"/>
  <c r="U13" i="8"/>
  <c r="X13" i="8" s="1"/>
  <c r="S13" i="8"/>
  <c r="T13" i="8" s="1"/>
  <c r="R13" i="8"/>
  <c r="I13" i="8"/>
  <c r="H13" i="8"/>
  <c r="V12" i="8"/>
  <c r="Y12" i="8" s="1"/>
  <c r="U12" i="8"/>
  <c r="X12" i="8" s="1"/>
  <c r="S12" i="8"/>
  <c r="T12" i="8" s="1"/>
  <c r="R12" i="8"/>
  <c r="I12" i="8"/>
  <c r="H12" i="8"/>
  <c r="W11" i="8"/>
  <c r="V11" i="8"/>
  <c r="U11" i="8"/>
  <c r="X11" i="8" s="1"/>
  <c r="S11" i="8"/>
  <c r="T11" i="8" s="1"/>
  <c r="R11" i="8"/>
  <c r="I11" i="8"/>
  <c r="H11" i="8"/>
  <c r="W10" i="8"/>
  <c r="V10" i="8"/>
  <c r="U10" i="8"/>
  <c r="X10" i="8" s="1"/>
  <c r="S10" i="8"/>
  <c r="T10" i="8" s="1"/>
  <c r="R10" i="8"/>
  <c r="I10" i="8"/>
  <c r="H10" i="8"/>
  <c r="W9" i="8"/>
  <c r="V9" i="8"/>
  <c r="U9" i="8"/>
  <c r="X9" i="8" s="1"/>
  <c r="S9" i="8"/>
  <c r="T9" i="8" s="1"/>
  <c r="R9" i="8"/>
  <c r="I9" i="8"/>
  <c r="H9" i="8"/>
  <c r="W8" i="8"/>
  <c r="V8" i="8"/>
  <c r="U8" i="8"/>
  <c r="X8" i="8" s="1"/>
  <c r="S8" i="8"/>
  <c r="T8" i="8" s="1"/>
  <c r="R8" i="8"/>
  <c r="I8" i="8"/>
  <c r="H8" i="8"/>
  <c r="W7" i="8"/>
  <c r="V7" i="8"/>
  <c r="Y7" i="8" s="1"/>
  <c r="U7" i="8"/>
  <c r="X7" i="8" s="1"/>
  <c r="S7" i="8"/>
  <c r="T7" i="8" s="1"/>
  <c r="R7" i="8"/>
  <c r="I7" i="8"/>
  <c r="H7" i="8"/>
  <c r="Y6" i="8"/>
  <c r="U6" i="8"/>
  <c r="X6" i="8" s="1"/>
  <c r="S6" i="8"/>
  <c r="T6" i="8" s="1"/>
  <c r="R6" i="8"/>
  <c r="I6" i="8"/>
  <c r="H6" i="8"/>
  <c r="W5" i="8"/>
  <c r="Y5" i="8" s="1"/>
  <c r="U5" i="8"/>
  <c r="X5" i="8" s="1"/>
  <c r="S5" i="8"/>
  <c r="T5" i="8" s="1"/>
  <c r="R5" i="8"/>
  <c r="I5" i="8"/>
  <c r="H5" i="8"/>
  <c r="W4" i="8"/>
  <c r="V4" i="8"/>
  <c r="U4" i="8"/>
  <c r="X4" i="8" s="1"/>
  <c r="S4" i="8"/>
  <c r="T4" i="8" s="1"/>
  <c r="R4" i="8"/>
  <c r="I4" i="8"/>
  <c r="H4" i="8"/>
  <c r="W3" i="8"/>
  <c r="V3" i="8"/>
  <c r="U3" i="8"/>
  <c r="X3" i="8" s="1"/>
  <c r="S3" i="8"/>
  <c r="T3" i="8" s="1"/>
  <c r="R3" i="8"/>
  <c r="I3" i="8"/>
  <c r="H3" i="8"/>
  <c r="W2" i="8"/>
  <c r="V2" i="8"/>
  <c r="U2" i="8"/>
  <c r="X2" i="8" s="1"/>
  <c r="S2" i="8"/>
  <c r="T2" i="8" s="1"/>
  <c r="R2" i="8"/>
  <c r="I2" i="8"/>
  <c r="H2" i="8"/>
  <c r="AA14" i="7"/>
  <c r="X14" i="7"/>
  <c r="Y14" i="7" s="1"/>
  <c r="Z14" i="7" s="1"/>
  <c r="W14" i="7"/>
  <c r="AB14" i="7" s="1"/>
  <c r="X10" i="7"/>
  <c r="Y10" i="7" s="1"/>
  <c r="Z10" i="7" s="1"/>
  <c r="W10" i="7"/>
  <c r="AB10" i="7" s="1"/>
  <c r="U10" i="7"/>
  <c r="V10" i="7" s="1"/>
  <c r="T10" i="7"/>
  <c r="I10" i="7"/>
  <c r="H10" i="7"/>
  <c r="AA25" i="7"/>
  <c r="X25" i="7"/>
  <c r="W25" i="7"/>
  <c r="AB25" i="7" s="1"/>
  <c r="U25" i="7"/>
  <c r="V25" i="7" s="1"/>
  <c r="T25" i="7"/>
  <c r="I25" i="7"/>
  <c r="H25" i="7"/>
  <c r="AA24" i="7"/>
  <c r="X24" i="7"/>
  <c r="W24" i="7"/>
  <c r="AB24" i="7" s="1"/>
  <c r="U24" i="7"/>
  <c r="V24" i="7" s="1"/>
  <c r="T24" i="7"/>
  <c r="I24" i="7"/>
  <c r="H24" i="7"/>
  <c r="AA27" i="7"/>
  <c r="X27" i="7"/>
  <c r="W27" i="7"/>
  <c r="AB27" i="7" s="1"/>
  <c r="U27" i="7"/>
  <c r="V27" i="7" s="1"/>
  <c r="T27" i="7"/>
  <c r="I27" i="7"/>
  <c r="H27" i="7"/>
  <c r="AA26" i="7"/>
  <c r="X26" i="7"/>
  <c r="W26" i="7"/>
  <c r="AB26" i="7" s="1"/>
  <c r="U26" i="7"/>
  <c r="V26" i="7" s="1"/>
  <c r="T26" i="7"/>
  <c r="I26" i="7"/>
  <c r="H26" i="7"/>
  <c r="AA29" i="7"/>
  <c r="X29" i="7"/>
  <c r="W29" i="7"/>
  <c r="AB29" i="7" s="1"/>
  <c r="U29" i="7"/>
  <c r="V29" i="7" s="1"/>
  <c r="T29" i="7"/>
  <c r="I29" i="7"/>
  <c r="H29" i="7"/>
  <c r="AA28" i="7"/>
  <c r="X28" i="7"/>
  <c r="W28" i="7"/>
  <c r="AB28" i="7" s="1"/>
  <c r="U28" i="7"/>
  <c r="V28" i="7" s="1"/>
  <c r="T28" i="7"/>
  <c r="I28" i="7"/>
  <c r="H28" i="7"/>
  <c r="X17" i="7"/>
  <c r="Y17" i="7" s="1"/>
  <c r="Z17" i="7" s="1"/>
  <c r="W17" i="7"/>
  <c r="AB17" i="7" s="1"/>
  <c r="U17" i="7"/>
  <c r="V17" i="7" s="1"/>
  <c r="T17" i="7"/>
  <c r="I17" i="7"/>
  <c r="H17" i="7"/>
  <c r="AA13" i="7"/>
  <c r="AA15" i="7"/>
  <c r="X15" i="7"/>
  <c r="Y15" i="7" s="1"/>
  <c r="Z15" i="7" s="1"/>
  <c r="W15" i="7"/>
  <c r="AB15" i="7" s="1"/>
  <c r="U15" i="7"/>
  <c r="V15" i="7" s="1"/>
  <c r="T15" i="7"/>
  <c r="I15" i="7"/>
  <c r="H15" i="7"/>
  <c r="U14" i="7"/>
  <c r="V14" i="7" s="1"/>
  <c r="T14" i="7"/>
  <c r="I14" i="7"/>
  <c r="H14" i="7"/>
  <c r="X19" i="7"/>
  <c r="Y19" i="7" s="1"/>
  <c r="Z19" i="7" s="1"/>
  <c r="W19" i="7"/>
  <c r="AB19" i="7" s="1"/>
  <c r="U19" i="7"/>
  <c r="V19" i="7" s="1"/>
  <c r="T19" i="7"/>
  <c r="I19" i="7"/>
  <c r="H19" i="7"/>
  <c r="X18" i="7"/>
  <c r="Y18" i="7" s="1"/>
  <c r="W18" i="7"/>
  <c r="AB18" i="7" s="1"/>
  <c r="U18" i="7"/>
  <c r="V18" i="7" s="1"/>
  <c r="T18" i="7"/>
  <c r="I18" i="7"/>
  <c r="H18" i="7"/>
  <c r="X16" i="7"/>
  <c r="Y16" i="7" s="1"/>
  <c r="Z16" i="7" s="1"/>
  <c r="W16" i="7"/>
  <c r="AB16" i="7" s="1"/>
  <c r="U16" i="7"/>
  <c r="V16" i="7" s="1"/>
  <c r="T16" i="7"/>
  <c r="I16" i="7"/>
  <c r="H16" i="7"/>
  <c r="T9" i="7"/>
  <c r="U9" i="7"/>
  <c r="V9" i="7" s="1"/>
  <c r="W9" i="7"/>
  <c r="AB9" i="7" s="1"/>
  <c r="AC9" i="7"/>
  <c r="I9" i="7"/>
  <c r="H9" i="7"/>
  <c r="I22" i="7"/>
  <c r="I23" i="7"/>
  <c r="I4" i="7"/>
  <c r="I5" i="7"/>
  <c r="I21" i="7"/>
  <c r="AA5" i="7"/>
  <c r="X5" i="7"/>
  <c r="Y5" i="7" s="1"/>
  <c r="Z5" i="7" s="1"/>
  <c r="W5" i="7"/>
  <c r="AB5" i="7" s="1"/>
  <c r="U5" i="7"/>
  <c r="V5" i="7" s="1"/>
  <c r="T5" i="7"/>
  <c r="H5" i="7"/>
  <c r="AA4" i="7"/>
  <c r="X4" i="7"/>
  <c r="Y4" i="7" s="1"/>
  <c r="Z4" i="7" s="1"/>
  <c r="W4" i="7"/>
  <c r="AB4" i="7" s="1"/>
  <c r="U4" i="7"/>
  <c r="V4" i="7" s="1"/>
  <c r="T4" i="7"/>
  <c r="H4" i="7"/>
  <c r="AA23" i="7"/>
  <c r="X23" i="7"/>
  <c r="Y23" i="7" s="1"/>
  <c r="Z23" i="7" s="1"/>
  <c r="W23" i="7"/>
  <c r="AB23" i="7" s="1"/>
  <c r="U23" i="7"/>
  <c r="V23" i="7" s="1"/>
  <c r="T23" i="7"/>
  <c r="H23" i="7"/>
  <c r="AA22" i="7"/>
  <c r="X22" i="7"/>
  <c r="Y22" i="7" s="1"/>
  <c r="Z22" i="7" s="1"/>
  <c r="W22" i="7"/>
  <c r="AB22" i="7" s="1"/>
  <c r="U22" i="7"/>
  <c r="V22" i="7" s="1"/>
  <c r="T22" i="7"/>
  <c r="H22" i="7"/>
  <c r="H3" i="7"/>
  <c r="I3" i="7"/>
  <c r="T3" i="7"/>
  <c r="U3" i="7"/>
  <c r="V3" i="7" s="1"/>
  <c r="W3" i="7"/>
  <c r="AB3" i="7" s="1"/>
  <c r="X3" i="7"/>
  <c r="Y3" i="7" s="1"/>
  <c r="Z3" i="7" s="1"/>
  <c r="AA3" i="7"/>
  <c r="AA21" i="7"/>
  <c r="X21" i="7"/>
  <c r="Y21" i="7" s="1"/>
  <c r="Z21" i="7" s="1"/>
  <c r="W21" i="7"/>
  <c r="AB21" i="7" s="1"/>
  <c r="U21" i="7"/>
  <c r="V21" i="7" s="1"/>
  <c r="T21" i="7"/>
  <c r="H21" i="7"/>
  <c r="H13" i="7"/>
  <c r="X13" i="7"/>
  <c r="Y13" i="7" s="1"/>
  <c r="Z13" i="7" s="1"/>
  <c r="W13" i="7"/>
  <c r="AB13" i="7" s="1"/>
  <c r="U13" i="7"/>
  <c r="V13" i="7" s="1"/>
  <c r="T13" i="7"/>
  <c r="I13" i="7"/>
  <c r="AA2" i="7"/>
  <c r="X2" i="7"/>
  <c r="Y2" i="7" s="1"/>
  <c r="W2" i="7"/>
  <c r="AB2" i="7" s="1"/>
  <c r="U2" i="7"/>
  <c r="V2" i="7" s="1"/>
  <c r="T2" i="7"/>
  <c r="I2" i="7"/>
  <c r="H2" i="7"/>
  <c r="X3" i="6"/>
  <c r="X4" i="6"/>
  <c r="X5" i="6"/>
  <c r="X16" i="6"/>
  <c r="X6" i="6"/>
  <c r="X17" i="6"/>
  <c r="X18" i="6"/>
  <c r="X7" i="6"/>
  <c r="X19" i="6"/>
  <c r="X8" i="6"/>
  <c r="X20" i="6"/>
  <c r="X9" i="6"/>
  <c r="X15" i="6"/>
  <c r="X10" i="6"/>
  <c r="X11" i="6"/>
  <c r="X12" i="6"/>
  <c r="X13" i="6"/>
  <c r="X14" i="6"/>
  <c r="X2" i="6"/>
  <c r="Y18" i="6"/>
  <c r="W18" i="6"/>
  <c r="Z18" i="6" s="1"/>
  <c r="U18" i="6"/>
  <c r="V18" i="6" s="1"/>
  <c r="T18" i="6"/>
  <c r="K18" i="6"/>
  <c r="J18" i="6"/>
  <c r="Y14" i="6"/>
  <c r="W14" i="6"/>
  <c r="Z14" i="6" s="1"/>
  <c r="U14" i="6"/>
  <c r="V14" i="6" s="1"/>
  <c r="T14" i="6"/>
  <c r="K14" i="6"/>
  <c r="J14" i="6"/>
  <c r="Y13" i="6"/>
  <c r="W13" i="6"/>
  <c r="Z13" i="6" s="1"/>
  <c r="U13" i="6"/>
  <c r="V13" i="6" s="1"/>
  <c r="T13" i="6"/>
  <c r="K13" i="6"/>
  <c r="J13" i="6"/>
  <c r="Y12" i="6"/>
  <c r="W12" i="6"/>
  <c r="Z12" i="6" s="1"/>
  <c r="U12" i="6"/>
  <c r="V12" i="6" s="1"/>
  <c r="T12" i="6"/>
  <c r="K12" i="6"/>
  <c r="J12" i="6"/>
  <c r="Y11" i="6"/>
  <c r="W11" i="6"/>
  <c r="Z11" i="6" s="1"/>
  <c r="U11" i="6"/>
  <c r="V11" i="6" s="1"/>
  <c r="T11" i="6"/>
  <c r="K11" i="6"/>
  <c r="J11" i="6"/>
  <c r="Y10" i="6"/>
  <c r="W10" i="6"/>
  <c r="Z10" i="6" s="1"/>
  <c r="U10" i="6"/>
  <c r="V10" i="6" s="1"/>
  <c r="T10" i="6"/>
  <c r="K10" i="6"/>
  <c r="J10" i="6"/>
  <c r="Y15" i="6"/>
  <c r="W15" i="6"/>
  <c r="Z15" i="6" s="1"/>
  <c r="U15" i="6"/>
  <c r="V15" i="6" s="1"/>
  <c r="T15" i="6"/>
  <c r="K15" i="6"/>
  <c r="J15" i="6"/>
  <c r="Y3" i="6"/>
  <c r="Y4" i="6"/>
  <c r="Y5" i="6"/>
  <c r="Y16" i="6"/>
  <c r="Y6" i="6"/>
  <c r="Y17" i="6"/>
  <c r="Y7" i="6"/>
  <c r="Y19" i="6"/>
  <c r="Y8" i="6"/>
  <c r="Y20" i="6"/>
  <c r="Y9" i="6"/>
  <c r="T20" i="6"/>
  <c r="U20" i="6"/>
  <c r="V20" i="6" s="1"/>
  <c r="T9" i="6"/>
  <c r="U9" i="6"/>
  <c r="V9" i="6" s="1"/>
  <c r="W3" i="6"/>
  <c r="Z3" i="6" s="1"/>
  <c r="W4" i="6"/>
  <c r="Z4" i="6" s="1"/>
  <c r="W5" i="6"/>
  <c r="Z5" i="6" s="1"/>
  <c r="W16" i="6"/>
  <c r="Z16" i="6" s="1"/>
  <c r="W6" i="6"/>
  <c r="Z6" i="6" s="1"/>
  <c r="W17" i="6"/>
  <c r="Z17" i="6" s="1"/>
  <c r="W7" i="6"/>
  <c r="Z7" i="6" s="1"/>
  <c r="W19" i="6"/>
  <c r="Z19" i="6" s="1"/>
  <c r="W8" i="6"/>
  <c r="Z8" i="6" s="1"/>
  <c r="W20" i="6"/>
  <c r="Z20" i="6" s="1"/>
  <c r="W9" i="6"/>
  <c r="Z9" i="6" s="1"/>
  <c r="W2" i="6"/>
  <c r="Z2" i="6" s="1"/>
  <c r="Y2" i="6"/>
  <c r="K2" i="6"/>
  <c r="J2" i="6"/>
  <c r="J4" i="6"/>
  <c r="J5" i="6"/>
  <c r="J16" i="6"/>
  <c r="J6" i="6"/>
  <c r="J17" i="6"/>
  <c r="J7" i="6"/>
  <c r="J19" i="6"/>
  <c r="J8" i="6"/>
  <c r="J20" i="6"/>
  <c r="J9" i="6"/>
  <c r="J3" i="6"/>
  <c r="K4" i="6"/>
  <c r="K5" i="6"/>
  <c r="K16" i="6"/>
  <c r="K6" i="6"/>
  <c r="K17" i="6"/>
  <c r="K7" i="6"/>
  <c r="K19" i="6"/>
  <c r="K8" i="6"/>
  <c r="K20" i="6"/>
  <c r="K9" i="6"/>
  <c r="K3" i="6"/>
  <c r="T8" i="6"/>
  <c r="U8" i="6"/>
  <c r="V8" i="6" s="1"/>
  <c r="U3" i="6"/>
  <c r="V3" i="6" s="1"/>
  <c r="U4" i="6"/>
  <c r="V4" i="6" s="1"/>
  <c r="U5" i="6"/>
  <c r="V5" i="6" s="1"/>
  <c r="U16" i="6"/>
  <c r="V16" i="6" s="1"/>
  <c r="U6" i="6"/>
  <c r="V6" i="6" s="1"/>
  <c r="U17" i="6"/>
  <c r="V17" i="6" s="1"/>
  <c r="U7" i="6"/>
  <c r="V7" i="6" s="1"/>
  <c r="U19" i="6"/>
  <c r="V19" i="6" s="1"/>
  <c r="U2" i="6"/>
  <c r="V2" i="6" s="1"/>
  <c r="T3" i="6"/>
  <c r="T4" i="6"/>
  <c r="T5" i="6"/>
  <c r="T16" i="6"/>
  <c r="T6" i="6"/>
  <c r="T17" i="6"/>
  <c r="T7" i="6"/>
  <c r="T19" i="6"/>
  <c r="T2" i="6"/>
  <c r="R18" i="5"/>
  <c r="K18" i="5" s="1"/>
  <c r="H18" i="5"/>
  <c r="V8" i="5"/>
  <c r="V9" i="5"/>
  <c r="V11" i="5"/>
  <c r="V7" i="5"/>
  <c r="C31" i="3"/>
  <c r="H31" i="3" s="1"/>
  <c r="F29" i="3"/>
  <c r="F30" i="3" s="1"/>
  <c r="G29" i="3"/>
  <c r="G30" i="3" s="1"/>
  <c r="H29" i="3"/>
  <c r="E29" i="3"/>
  <c r="H30" i="3"/>
  <c r="D30" i="3"/>
  <c r="B30" i="3"/>
  <c r="D28" i="3"/>
  <c r="B17" i="3"/>
  <c r="B4" i="3"/>
  <c r="Q8" i="5"/>
  <c r="S8" i="5"/>
  <c r="R8" i="5" s="1"/>
  <c r="K8" i="5" s="1"/>
  <c r="H8" i="5"/>
  <c r="R11" i="5"/>
  <c r="K11" i="5" s="1"/>
  <c r="L11" i="5" s="1"/>
  <c r="R12" i="5"/>
  <c r="K12" i="5" s="1"/>
  <c r="N12" i="5" s="1"/>
  <c r="M12" i="5" s="1"/>
  <c r="H12" i="5"/>
  <c r="R10" i="5"/>
  <c r="K10" i="5" s="1"/>
  <c r="H10" i="5"/>
  <c r="R7" i="5"/>
  <c r="K7" i="5" s="1"/>
  <c r="H11" i="5"/>
  <c r="R9" i="5"/>
  <c r="K9" i="5" s="1"/>
  <c r="L9" i="5" s="1"/>
  <c r="H13" i="5"/>
  <c r="H9" i="5"/>
  <c r="H7" i="5"/>
  <c r="AF28" i="2"/>
  <c r="AD28" i="2"/>
  <c r="W28" i="2"/>
  <c r="X28" i="2" s="1"/>
  <c r="S28" i="2"/>
  <c r="U28" i="2" s="1"/>
  <c r="Z28" i="2" s="1"/>
  <c r="O28" i="2"/>
  <c r="L28" i="2"/>
  <c r="AF22" i="2"/>
  <c r="AD22" i="2"/>
  <c r="W22" i="2"/>
  <c r="X22" i="2" s="1"/>
  <c r="Z22" i="2"/>
  <c r="S22" i="2"/>
  <c r="V22" i="2" s="1"/>
  <c r="O22" i="2"/>
  <c r="L22" i="2"/>
  <c r="AF21" i="2"/>
  <c r="AD21" i="2"/>
  <c r="W21" i="2"/>
  <c r="X21" i="2" s="1"/>
  <c r="Z21" i="2"/>
  <c r="S21" i="2"/>
  <c r="V21" i="2" s="1"/>
  <c r="O21" i="2"/>
  <c r="L21" i="2"/>
  <c r="AF27" i="2"/>
  <c r="AD27" i="2"/>
  <c r="W27" i="2"/>
  <c r="X27" i="2" s="1"/>
  <c r="S27" i="2"/>
  <c r="V27" i="2" s="1"/>
  <c r="O27" i="2"/>
  <c r="L27" i="2"/>
  <c r="AF32" i="2"/>
  <c r="AD32" i="2"/>
  <c r="W32" i="2"/>
  <c r="X32" i="2" s="1"/>
  <c r="S32" i="2"/>
  <c r="V32" i="2" s="1"/>
  <c r="O32" i="2"/>
  <c r="L32" i="2"/>
  <c r="S19" i="2"/>
  <c r="U19" i="2" s="1"/>
  <c r="AF34" i="2"/>
  <c r="AD34" i="2"/>
  <c r="W34" i="2"/>
  <c r="X34" i="2" s="1"/>
  <c r="S34" i="2"/>
  <c r="U34" i="2" s="1"/>
  <c r="O34" i="2"/>
  <c r="L34" i="2"/>
  <c r="AF30" i="2"/>
  <c r="AD30" i="2"/>
  <c r="W30" i="2"/>
  <c r="X30" i="2" s="1"/>
  <c r="S30" i="2"/>
  <c r="U30" i="2" s="1"/>
  <c r="O30" i="2"/>
  <c r="L30" i="2"/>
  <c r="AF26" i="2"/>
  <c r="AD26" i="2"/>
  <c r="W26" i="2"/>
  <c r="X26" i="2" s="1"/>
  <c r="S26" i="2"/>
  <c r="U26" i="2" s="1"/>
  <c r="O26" i="2"/>
  <c r="L26" i="2"/>
  <c r="L24" i="2"/>
  <c r="AF24" i="2" s="1"/>
  <c r="AF31" i="2"/>
  <c r="AD31" i="2"/>
  <c r="AF25" i="2"/>
  <c r="AD25" i="2"/>
  <c r="AD24" i="2"/>
  <c r="W24" i="2"/>
  <c r="X24" i="2" s="1"/>
  <c r="S24" i="2"/>
  <c r="U24" i="2" s="1"/>
  <c r="O24" i="2"/>
  <c r="W25" i="2"/>
  <c r="X25" i="2" s="1"/>
  <c r="S25" i="2"/>
  <c r="V25" i="2" s="1"/>
  <c r="O25" i="2"/>
  <c r="L25" i="2"/>
  <c r="W31" i="2"/>
  <c r="X31" i="2" s="1"/>
  <c r="S31" i="2"/>
  <c r="U31" i="2" s="1"/>
  <c r="O31" i="2"/>
  <c r="L31" i="2"/>
  <c r="AF20" i="2"/>
  <c r="AD20" i="2"/>
  <c r="W20" i="2"/>
  <c r="X20" i="2" s="1"/>
  <c r="S20" i="2"/>
  <c r="V20" i="2" s="1"/>
  <c r="O20" i="2"/>
  <c r="L20" i="2"/>
  <c r="AF19" i="2"/>
  <c r="AD19" i="2"/>
  <c r="W19" i="2"/>
  <c r="X19" i="2" s="1"/>
  <c r="O19" i="2"/>
  <c r="L19" i="2"/>
  <c r="O18" i="3"/>
  <c r="O5" i="3"/>
  <c r="C18" i="3"/>
  <c r="G18" i="3" s="1"/>
  <c r="G17" i="3"/>
  <c r="F17" i="3"/>
  <c r="E17" i="3"/>
  <c r="D17" i="3"/>
  <c r="G15" i="3"/>
  <c r="F15" i="3"/>
  <c r="E15" i="3"/>
  <c r="D15" i="3"/>
  <c r="D2" i="3"/>
  <c r="E2" i="3"/>
  <c r="G2" i="3"/>
  <c r="H2" i="3"/>
  <c r="F2" i="3"/>
  <c r="AF12" i="2"/>
  <c r="AF13" i="2"/>
  <c r="AF14" i="2"/>
  <c r="L13" i="2"/>
  <c r="L14" i="2"/>
  <c r="L12" i="2"/>
  <c r="AD14" i="2"/>
  <c r="W14" i="2"/>
  <c r="X14" i="2" s="1"/>
  <c r="S14" i="2"/>
  <c r="V14" i="2" s="1"/>
  <c r="O14" i="2"/>
  <c r="AD13" i="2"/>
  <c r="W13" i="2"/>
  <c r="X13" i="2" s="1"/>
  <c r="S13" i="2"/>
  <c r="V13" i="2" s="1"/>
  <c r="O13" i="2"/>
  <c r="S12" i="2"/>
  <c r="U12" i="2" s="1"/>
  <c r="Z12" i="2" s="1"/>
  <c r="AD12" i="2"/>
  <c r="W12" i="2"/>
  <c r="X12" i="2" s="1"/>
  <c r="O12" i="2"/>
  <c r="C5" i="3"/>
  <c r="D5" i="3" s="1"/>
  <c r="E4" i="3"/>
  <c r="F4" i="3"/>
  <c r="G4" i="3"/>
  <c r="H4" i="3"/>
  <c r="D4" i="3"/>
  <c r="AF7" i="2"/>
  <c r="AF8" i="2"/>
  <c r="AF6" i="2"/>
  <c r="W7" i="2"/>
  <c r="X7" i="2" s="1"/>
  <c r="W8" i="2"/>
  <c r="X8" i="2" s="1"/>
  <c r="W9" i="2"/>
  <c r="X9" i="2" s="1"/>
  <c r="W10" i="2"/>
  <c r="X10" i="2" s="1"/>
  <c r="S10" i="2"/>
  <c r="U10" i="2" s="1"/>
  <c r="Z10" i="2" s="1"/>
  <c r="S7" i="2"/>
  <c r="V7" i="2" s="1"/>
  <c r="S8" i="2"/>
  <c r="V8" i="2" s="1"/>
  <c r="S9" i="2"/>
  <c r="V9" i="2" s="1"/>
  <c r="W6" i="2"/>
  <c r="X6" i="2" s="1"/>
  <c r="S6" i="2"/>
  <c r="U6" i="2" s="1"/>
  <c r="Z6" i="2" s="1"/>
  <c r="AD10" i="2"/>
  <c r="O10" i="2"/>
  <c r="L10" i="2"/>
  <c r="AD9" i="2"/>
  <c r="O9" i="2"/>
  <c r="L9" i="2"/>
  <c r="AD8" i="2"/>
  <c r="O8" i="2"/>
  <c r="L8" i="2"/>
  <c r="AD7" i="2"/>
  <c r="O7" i="2"/>
  <c r="O6" i="2"/>
  <c r="L7" i="2"/>
  <c r="AD6" i="2"/>
  <c r="L6" i="2"/>
  <c r="L37" i="1"/>
  <c r="U34" i="1"/>
  <c r="U35" i="1"/>
  <c r="U32" i="1"/>
  <c r="U33" i="1"/>
  <c r="S32" i="1"/>
  <c r="S33" i="1"/>
  <c r="S34" i="1"/>
  <c r="S35" i="1"/>
  <c r="U31" i="1"/>
  <c r="S31" i="1"/>
  <c r="L35" i="1"/>
  <c r="O35" i="1"/>
  <c r="O34" i="1"/>
  <c r="L34" i="1"/>
  <c r="O32" i="1"/>
  <c r="O33" i="1"/>
  <c r="O31" i="1"/>
  <c r="L33" i="1"/>
  <c r="L32" i="1"/>
  <c r="L31" i="1"/>
  <c r="L29" i="1"/>
  <c r="L28" i="1"/>
  <c r="L27" i="1"/>
  <c r="L26" i="1"/>
  <c r="L25" i="1"/>
  <c r="L24" i="1"/>
  <c r="L23" i="1"/>
  <c r="L22" i="1"/>
  <c r="L21" i="1"/>
  <c r="L19" i="1"/>
  <c r="B19" i="1"/>
  <c r="L18" i="1"/>
  <c r="B18" i="1"/>
  <c r="B16" i="1"/>
  <c r="O16" i="1" s="1"/>
  <c r="L16" i="1"/>
  <c r="B15" i="1"/>
  <c r="O15" i="1" s="1"/>
  <c r="L15" i="1"/>
  <c r="L12" i="1"/>
  <c r="L13" i="1"/>
  <c r="L14" i="1"/>
  <c r="B13" i="1"/>
  <c r="O13" i="1" s="1"/>
  <c r="B14" i="1"/>
  <c r="O14" i="1" s="1"/>
  <c r="B12" i="1"/>
  <c r="O12" i="1" s="1"/>
  <c r="L10" i="1"/>
  <c r="B10" i="1"/>
  <c r="O10" i="1" s="1"/>
  <c r="S10" i="1"/>
  <c r="U10" i="1"/>
  <c r="B9" i="1"/>
  <c r="O9" i="1" s="1"/>
  <c r="L9" i="1"/>
  <c r="S9" i="1"/>
  <c r="U9" i="1"/>
  <c r="U8" i="1"/>
  <c r="S8" i="1"/>
  <c r="L8" i="1"/>
  <c r="B8" i="1"/>
  <c r="O8" i="1" s="1"/>
  <c r="B6" i="1"/>
  <c r="O6" i="1" s="1"/>
  <c r="B7" i="1"/>
  <c r="O7" i="1" s="1"/>
  <c r="B5" i="1"/>
  <c r="O5" i="1" s="1"/>
  <c r="U7" i="1"/>
  <c r="S7" i="1"/>
  <c r="L7" i="1"/>
  <c r="U6" i="1"/>
  <c r="S6" i="1"/>
  <c r="L6" i="1"/>
  <c r="U5" i="1"/>
  <c r="R5" i="1"/>
  <c r="S5" i="1" s="1"/>
  <c r="L5" i="1"/>
  <c r="AB31" i="11" l="1"/>
  <c r="AB28" i="11"/>
  <c r="AB29" i="11"/>
  <c r="AB30" i="11"/>
  <c r="AC28" i="11"/>
  <c r="AC29" i="11"/>
  <c r="AC30" i="11"/>
  <c r="AC31" i="11"/>
  <c r="AB24" i="11"/>
  <c r="AB25" i="11"/>
  <c r="AB26" i="11"/>
  <c r="AB27" i="11"/>
  <c r="AC24" i="11"/>
  <c r="AC25" i="11"/>
  <c r="AC26" i="11"/>
  <c r="AC27" i="11"/>
  <c r="AB49" i="11"/>
  <c r="AB46" i="11"/>
  <c r="AB43" i="11"/>
  <c r="AB44" i="11"/>
  <c r="AB47" i="11"/>
  <c r="AB45" i="11"/>
  <c r="AB48" i="11"/>
  <c r="AB58" i="11"/>
  <c r="AB56" i="11"/>
  <c r="AC51" i="11"/>
  <c r="AC52" i="11"/>
  <c r="AC53" i="11"/>
  <c r="AC54" i="11"/>
  <c r="AC55" i="11"/>
  <c r="AC56" i="11"/>
  <c r="AC57" i="11"/>
  <c r="AC58" i="11"/>
  <c r="AB51" i="11"/>
  <c r="AB52" i="11"/>
  <c r="AB53" i="11"/>
  <c r="AB54" i="11"/>
  <c r="AB57" i="11"/>
  <c r="AD55" i="11"/>
  <c r="AB50" i="11"/>
  <c r="AC43" i="11"/>
  <c r="AC44" i="11"/>
  <c r="AC45" i="11"/>
  <c r="AC46" i="11"/>
  <c r="AC47" i="11"/>
  <c r="AC48" i="11"/>
  <c r="AC49" i="11"/>
  <c r="AC50" i="11"/>
  <c r="AB40" i="11"/>
  <c r="AD40" i="11"/>
  <c r="AD36" i="11"/>
  <c r="AC42" i="11"/>
  <c r="AD42" i="11"/>
  <c r="AB41" i="11"/>
  <c r="AC41" i="11"/>
  <c r="AB39" i="11"/>
  <c r="AC39" i="11"/>
  <c r="AB38" i="11"/>
  <c r="AC38" i="11"/>
  <c r="AB36" i="11"/>
  <c r="AB33" i="11"/>
  <c r="AB6" i="11"/>
  <c r="AC9" i="11"/>
  <c r="AB23" i="11"/>
  <c r="AC8" i="11"/>
  <c r="AC4" i="11"/>
  <c r="AB35" i="11"/>
  <c r="AB37" i="11"/>
  <c r="AC37" i="11"/>
  <c r="AD35" i="11"/>
  <c r="AC33" i="11"/>
  <c r="AB32" i="11"/>
  <c r="AC32" i="11"/>
  <c r="AC23" i="11"/>
  <c r="AB16" i="11"/>
  <c r="AB17" i="11"/>
  <c r="AB21" i="11"/>
  <c r="AB20" i="11"/>
  <c r="AC16" i="11"/>
  <c r="AC17" i="11"/>
  <c r="AC18" i="11"/>
  <c r="AC19" i="11"/>
  <c r="AC20" i="11"/>
  <c r="AC21" i="11"/>
  <c r="AB19" i="11"/>
  <c r="AD18" i="11"/>
  <c r="AC5" i="11"/>
  <c r="AB7" i="11"/>
  <c r="AB10" i="11"/>
  <c r="AC3" i="11"/>
  <c r="AB8" i="11"/>
  <c r="AB22" i="11"/>
  <c r="AC22" i="11"/>
  <c r="AB14" i="11"/>
  <c r="AC14" i="11"/>
  <c r="AC12" i="11"/>
  <c r="AD12" i="11"/>
  <c r="AB13" i="11"/>
  <c r="AC13" i="11"/>
  <c r="AD9" i="11"/>
  <c r="AD7" i="11"/>
  <c r="AD6" i="11"/>
  <c r="AD3" i="11"/>
  <c r="AD10" i="11"/>
  <c r="AD5" i="11"/>
  <c r="AD4" i="11"/>
  <c r="X10" i="12"/>
  <c r="X8" i="12"/>
  <c r="X9" i="12"/>
  <c r="X4" i="12"/>
  <c r="W5" i="12"/>
  <c r="X5" i="12" s="1"/>
  <c r="U5" i="12"/>
  <c r="Y5" i="12" s="1"/>
  <c r="Z5" i="12"/>
  <c r="Z3" i="12"/>
  <c r="Z4" i="12"/>
  <c r="U3" i="12"/>
  <c r="Y3" i="12" s="1"/>
  <c r="U4" i="12"/>
  <c r="Y4" i="12" s="1"/>
  <c r="L8" i="5"/>
  <c r="N8" i="5"/>
  <c r="M8" i="5" s="1"/>
  <c r="V28" i="2"/>
  <c r="Y2" i="8"/>
  <c r="Y8" i="8"/>
  <c r="T8" i="9"/>
  <c r="Y4" i="8"/>
  <c r="Y24" i="8"/>
  <c r="T12" i="9"/>
  <c r="T17" i="9"/>
  <c r="T20" i="9"/>
  <c r="Y20" i="8"/>
  <c r="C32" i="3"/>
  <c r="C33" i="3" s="1"/>
  <c r="C34" i="3" s="1"/>
  <c r="C35" i="3" s="1"/>
  <c r="T10" i="9"/>
  <c r="M9" i="10"/>
  <c r="AA9" i="10" s="1"/>
  <c r="X6" i="10"/>
  <c r="Y6" i="10" s="1"/>
  <c r="M10" i="10"/>
  <c r="AA10" i="10" s="1"/>
  <c r="M11" i="10"/>
  <c r="X10" i="10"/>
  <c r="Y10" i="10" s="1"/>
  <c r="X9" i="10"/>
  <c r="Y9" i="10" s="1"/>
  <c r="T9" i="9"/>
  <c r="T11" i="9"/>
  <c r="T15" i="9"/>
  <c r="T4" i="9"/>
  <c r="T14" i="9"/>
  <c r="AC7" i="7"/>
  <c r="AC8" i="7"/>
  <c r="Y8" i="7"/>
  <c r="Z8" i="7" s="1"/>
  <c r="Y7" i="7"/>
  <c r="Z7" i="7" s="1"/>
  <c r="Y11" i="7"/>
  <c r="Z11" i="7" s="1"/>
  <c r="AC6" i="7"/>
  <c r="Y14" i="8"/>
  <c r="Y22" i="8"/>
  <c r="Y9" i="8"/>
  <c r="Y18" i="8"/>
  <c r="Y10" i="8"/>
  <c r="Y11" i="8"/>
  <c r="Y3" i="8"/>
  <c r="Y26" i="8"/>
  <c r="Y27" i="8"/>
  <c r="Y28" i="8"/>
  <c r="Y29" i="8"/>
  <c r="Y13" i="8"/>
  <c r="Y15" i="8"/>
  <c r="Y17" i="8"/>
  <c r="Y19" i="8"/>
  <c r="Y21" i="8"/>
  <c r="Y23" i="8"/>
  <c r="Y25" i="8"/>
  <c r="AC10" i="7"/>
  <c r="AC27" i="7"/>
  <c r="AC24" i="7"/>
  <c r="AC26" i="7"/>
  <c r="AC25" i="7"/>
  <c r="AC17" i="7"/>
  <c r="AC19" i="7"/>
  <c r="AC29" i="7"/>
  <c r="AC28" i="7"/>
  <c r="AC15" i="7"/>
  <c r="AC14" i="7"/>
  <c r="AC18" i="7"/>
  <c r="AC16" i="7"/>
  <c r="AC4" i="7"/>
  <c r="AC23" i="7"/>
  <c r="AC22" i="7"/>
  <c r="AC5" i="7"/>
  <c r="AC3" i="7"/>
  <c r="AC2" i="7"/>
  <c r="AC13" i="7"/>
  <c r="AC21" i="7"/>
  <c r="AA11" i="6"/>
  <c r="AA10" i="6"/>
  <c r="AA14" i="6"/>
  <c r="AA18" i="6"/>
  <c r="AA15" i="6"/>
  <c r="AA6" i="6"/>
  <c r="AA9" i="6"/>
  <c r="AA20" i="6"/>
  <c r="AA8" i="6"/>
  <c r="AA12" i="6"/>
  <c r="AA13" i="6"/>
  <c r="AA3" i="6"/>
  <c r="AA16" i="6"/>
  <c r="AA5" i="6"/>
  <c r="AA4" i="6"/>
  <c r="AA2" i="6"/>
  <c r="AA7" i="6"/>
  <c r="AA19" i="6"/>
  <c r="AA17" i="6"/>
  <c r="N18" i="5"/>
  <c r="M18" i="5" s="1"/>
  <c r="L18" i="5"/>
  <c r="H32" i="3"/>
  <c r="D32" i="3"/>
  <c r="G32" i="3"/>
  <c r="F32" i="3"/>
  <c r="H33" i="3"/>
  <c r="D31" i="3"/>
  <c r="F31" i="3"/>
  <c r="G31" i="3"/>
  <c r="C19" i="3"/>
  <c r="C20" i="3" s="1"/>
  <c r="C21" i="3" s="1"/>
  <c r="C22" i="3" s="1"/>
  <c r="L20" i="3" s="1"/>
  <c r="C6" i="3"/>
  <c r="L12" i="5"/>
  <c r="N11" i="5"/>
  <c r="M11" i="5" s="1"/>
  <c r="L10" i="5"/>
  <c r="L7" i="5"/>
  <c r="N7" i="5"/>
  <c r="M7" i="5" s="1"/>
  <c r="R13" i="5"/>
  <c r="S13" i="5" s="1"/>
  <c r="Y28" i="2"/>
  <c r="Y21" i="2"/>
  <c r="Y22" i="2"/>
  <c r="U27" i="2"/>
  <c r="V26" i="2"/>
  <c r="U32" i="2"/>
  <c r="Z32" i="2" s="1"/>
  <c r="V30" i="2"/>
  <c r="V34" i="2"/>
  <c r="Y34" i="2"/>
  <c r="Z34" i="2"/>
  <c r="Z30" i="2"/>
  <c r="Y30" i="2"/>
  <c r="Z26" i="2"/>
  <c r="Y26" i="2"/>
  <c r="Z24" i="2"/>
  <c r="Y24" i="2"/>
  <c r="V24" i="2"/>
  <c r="U25" i="2"/>
  <c r="V31" i="2"/>
  <c r="Z31" i="2"/>
  <c r="Y31" i="2"/>
  <c r="U20" i="2"/>
  <c r="Y20" i="2" s="1"/>
  <c r="V19" i="2"/>
  <c r="Z19" i="2"/>
  <c r="Y19" i="2"/>
  <c r="F20" i="3"/>
  <c r="D20" i="3"/>
  <c r="E20" i="3"/>
  <c r="D19" i="3"/>
  <c r="D18" i="3"/>
  <c r="E18" i="3"/>
  <c r="F18" i="3"/>
  <c r="Y10" i="2"/>
  <c r="Y6" i="2"/>
  <c r="U9" i="2"/>
  <c r="Z9" i="2" s="1"/>
  <c r="U8" i="2"/>
  <c r="U7" i="2"/>
  <c r="Y12" i="2"/>
  <c r="V12" i="2"/>
  <c r="U14" i="2"/>
  <c r="U13" i="2"/>
  <c r="F5" i="3"/>
  <c r="G5" i="3"/>
  <c r="E5" i="3"/>
  <c r="H5" i="3"/>
  <c r="V10" i="2"/>
  <c r="V6" i="2"/>
  <c r="Y6" i="12" l="1"/>
  <c r="Z6" i="12"/>
  <c r="W6" i="12"/>
  <c r="X6" i="12" s="1"/>
  <c r="U7" i="12"/>
  <c r="Y7" i="12" s="1"/>
  <c r="Z7" i="12"/>
  <c r="W7" i="12"/>
  <c r="X7" i="12" s="1"/>
  <c r="G19" i="3"/>
  <c r="V9" i="10"/>
  <c r="Z9" i="10" s="1"/>
  <c r="F19" i="3"/>
  <c r="V10" i="10"/>
  <c r="Z10" i="10" s="1"/>
  <c r="E19" i="3"/>
  <c r="X11" i="10"/>
  <c r="Y11" i="10" s="1"/>
  <c r="V11" i="10"/>
  <c r="Z11" i="10" s="1"/>
  <c r="AA11" i="10"/>
  <c r="G33" i="3"/>
  <c r="F33" i="3"/>
  <c r="D33" i="3"/>
  <c r="H34" i="3"/>
  <c r="G20" i="3"/>
  <c r="C7" i="3"/>
  <c r="E6" i="3"/>
  <c r="F6" i="3"/>
  <c r="G6" i="3"/>
  <c r="H6" i="3"/>
  <c r="D6" i="3"/>
  <c r="K13" i="5"/>
  <c r="L13" i="5" s="1"/>
  <c r="Z27" i="2"/>
  <c r="Y27" i="2"/>
  <c r="Y32" i="2"/>
  <c r="Y9" i="2"/>
  <c r="Z25" i="2"/>
  <c r="Y25" i="2"/>
  <c r="Z20" i="2"/>
  <c r="Y8" i="2"/>
  <c r="Z8" i="2"/>
  <c r="Y7" i="2"/>
  <c r="Z7" i="2"/>
  <c r="E21" i="3"/>
  <c r="D21" i="3"/>
  <c r="G21" i="3"/>
  <c r="F21" i="3"/>
  <c r="Y13" i="2"/>
  <c r="Z13" i="2"/>
  <c r="Y14" i="2"/>
  <c r="Z14" i="2"/>
  <c r="F34" i="3" l="1"/>
  <c r="D34" i="3"/>
  <c r="H35" i="3"/>
  <c r="G34" i="3"/>
  <c r="G7" i="3"/>
  <c r="H7" i="3"/>
  <c r="D7" i="3"/>
  <c r="C8" i="3"/>
  <c r="E7" i="3"/>
  <c r="F7" i="3"/>
  <c r="G22" i="3"/>
  <c r="F22" i="3"/>
  <c r="E22" i="3"/>
  <c r="D22" i="3"/>
  <c r="N13" i="5"/>
  <c r="M13" i="5" s="1"/>
  <c r="G35" i="3" l="1"/>
  <c r="F35" i="3"/>
  <c r="D35" i="3"/>
  <c r="G8" i="3"/>
  <c r="H8" i="3"/>
  <c r="C9" i="3"/>
  <c r="E8" i="3"/>
  <c r="F8" i="3"/>
  <c r="D8" i="3"/>
  <c r="Q13" i="5"/>
  <c r="N9" i="5" s="1"/>
  <c r="M9" i="5" s="1"/>
  <c r="L7" i="3" l="1"/>
  <c r="E9" i="3"/>
  <c r="F9" i="3"/>
  <c r="G9" i="3"/>
  <c r="H9" i="3"/>
  <c r="D9" i="3"/>
  <c r="Q9" i="5"/>
  <c r="N10" i="5" s="1"/>
  <c r="M10" i="5" l="1"/>
  <c r="Q10" i="5"/>
  <c r="E34" i="3"/>
  <c r="E30" i="3"/>
  <c r="E32" i="3" l="1"/>
  <c r="E33" i="3"/>
  <c r="E31" i="3"/>
  <c r="E35" i="3"/>
</calcChain>
</file>

<file path=xl/sharedStrings.xml><?xml version="1.0" encoding="utf-8"?>
<sst xmlns="http://schemas.openxmlformats.org/spreadsheetml/2006/main" count="1200" uniqueCount="464">
  <si>
    <t>Case number</t>
  </si>
  <si>
    <t>Re</t>
  </si>
  <si>
    <t>Viscosity</t>
  </si>
  <si>
    <t>HIT box length</t>
  </si>
  <si>
    <t>01</t>
  </si>
  <si>
    <t>Bulk velocity (m/s)</t>
  </si>
  <si>
    <t>D_rotor</t>
  </si>
  <si>
    <t>D_tunnel (m)</t>
  </si>
  <si>
    <t>C1</t>
  </si>
  <si>
    <t>C2</t>
  </si>
  <si>
    <t>Fluctuations</t>
  </si>
  <si>
    <t>Energetic Scale</t>
  </si>
  <si>
    <t>Forcing coeff</t>
  </si>
  <si>
    <t>DNS Box Spreadsheet/HIT parameters</t>
  </si>
  <si>
    <t>Turbine simulation parameters</t>
  </si>
  <si>
    <t>TSR</t>
  </si>
  <si>
    <t>Turb Intensity</t>
  </si>
  <si>
    <t>Notes</t>
  </si>
  <si>
    <t>Initial TKE</t>
  </si>
  <si>
    <t>dt</t>
  </si>
  <si>
    <t>final time</t>
  </si>
  <si>
    <t>passthroughs</t>
  </si>
  <si>
    <t>first case with smaller domain</t>
  </si>
  <si>
    <t>02</t>
  </si>
  <si>
    <t>03</t>
  </si>
  <si>
    <t>04</t>
  </si>
  <si>
    <t>Housekeeping</t>
  </si>
  <si>
    <t>05</t>
  </si>
  <si>
    <t>Folder</t>
  </si>
  <si>
    <t>06</t>
  </si>
  <si>
    <t>Status</t>
  </si>
  <si>
    <t>done</t>
  </si>
  <si>
    <t>sweeping TI space - keeping same Re (new inflow files for each case)</t>
  </si>
  <si>
    <t>currently running/queued</t>
  </si>
  <si>
    <t>100s was more than enough time (initial hit)</t>
  </si>
  <si>
    <t>100s actually probably ok here</t>
  </si>
  <si>
    <t>sweeping TI space - changing bulk velocity; pressure did not converge so had to change solver to bicgstab</t>
  </si>
  <si>
    <t>a,a</t>
  </si>
  <si>
    <t>a,b</t>
  </si>
  <si>
    <t>b</t>
  </si>
  <si>
    <t>07</t>
  </si>
  <si>
    <t>08</t>
  </si>
  <si>
    <t>09</t>
  </si>
  <si>
    <t>a</t>
  </si>
  <si>
    <t>c</t>
  </si>
  <si>
    <t>Nx</t>
  </si>
  <si>
    <t>3 turbulence intensities spanning values seen offshore, all at Re = 1e7</t>
  </si>
  <si>
    <t>CFL still too high with dt  = 0.001….???</t>
  </si>
  <si>
    <t>had to change dt to 0.001 to get CFL under control</t>
  </si>
  <si>
    <t>10</t>
  </si>
  <si>
    <t>?</t>
  </si>
  <si>
    <t>11</t>
  </si>
  <si>
    <t>same turbulence intensity as case 07, different Re</t>
  </si>
  <si>
    <t>Initial</t>
  </si>
  <si>
    <t>Steady</t>
  </si>
  <si>
    <t>Turbine</t>
  </si>
  <si>
    <t>4/11/22 8373469</t>
  </si>
  <si>
    <t>d</t>
  </si>
  <si>
    <t>e</t>
  </si>
  <si>
    <t>4/10/2022 8373342</t>
  </si>
  <si>
    <t>.</t>
  </si>
  <si>
    <t>4/11/22 8373417 8380239</t>
  </si>
  <si>
    <t>long 8380242</t>
  </si>
  <si>
    <t>07a</t>
  </si>
  <si>
    <t>07b</t>
  </si>
  <si>
    <t>seeing if too-small dissipation/too-large energy is dependent on resolution--keeping dissipation constant with 07</t>
  </si>
  <si>
    <t>4/24/22 8662727</t>
  </si>
  <si>
    <t>12</t>
  </si>
  <si>
    <t>5/26/22 8667933</t>
  </si>
  <si>
    <t>new C2 given relationship with box size; trying to dee if can match TKE to spreadsheet</t>
  </si>
  <si>
    <t>13</t>
  </si>
  <si>
    <t>5/27/22 8671075</t>
  </si>
  <si>
    <t>14</t>
  </si>
  <si>
    <t>5/29/22 8675561</t>
  </si>
  <si>
    <t>15</t>
  </si>
  <si>
    <t>Dissipation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</si>
  <si>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</si>
  <si>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</si>
  <si>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</si>
  <si>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</si>
  <si>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</si>
  <si>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</si>
  <si>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</si>
  <si>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</si>
  <si>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</si>
  <si>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use for inflow parameter sweep</t>
  </si>
  <si>
    <t>6/2/22 8685545</t>
  </si>
  <si>
    <t>5/31/22 8680521</t>
  </si>
  <si>
    <t>5/31/22 8680527</t>
  </si>
  <si>
    <t>5/31/22 8680819</t>
  </si>
  <si>
    <t>5/31/22 8680818</t>
  </si>
  <si>
    <t>6/1/22 8683779</t>
  </si>
  <si>
    <t>6/1/22 8683781</t>
  </si>
  <si>
    <t>6/1/22 8683937</t>
  </si>
  <si>
    <t>6/1/22 8683940</t>
  </si>
  <si>
    <t>4/24/22 8663069</t>
  </si>
  <si>
    <t>6/2/22 8685557</t>
  </si>
  <si>
    <t>6/2/22 8685582</t>
  </si>
  <si>
    <t>25</t>
  </si>
  <si>
    <t>sweeping Re</t>
  </si>
  <si>
    <t>sweeping TI</t>
  </si>
  <si>
    <t>6/2/22 8686076</t>
  </si>
  <si>
    <t>d, a</t>
  </si>
  <si>
    <t>e, b</t>
  </si>
  <si>
    <t>b, c</t>
  </si>
  <si>
    <t>Fluctuations*</t>
  </si>
  <si>
    <t>*calculated from stat-1Dy file at x-location before turbine</t>
  </si>
  <si>
    <t>6/7/22 8694049</t>
  </si>
  <si>
    <t>6/7/22 8694050</t>
  </si>
  <si>
    <t>6/7/22 8694052</t>
  </si>
  <si>
    <t>6/13/22 8705959</t>
  </si>
  <si>
    <t>6/13/22 8705960</t>
  </si>
  <si>
    <t>6/14/22 8707131</t>
  </si>
  <si>
    <t>6/14/22 8707143</t>
  </si>
  <si>
    <t>6/17/22 8720364</t>
  </si>
  <si>
    <t>6/17/22 8720365</t>
  </si>
  <si>
    <t>30</t>
  </si>
  <si>
    <t>large domain size</t>
  </si>
  <si>
    <t>7/8/22 8825720</t>
  </si>
  <si>
    <t>7/12/22 8841927</t>
  </si>
  <si>
    <t>Farm simulation parameters</t>
  </si>
  <si>
    <t># turbines</t>
  </si>
  <si>
    <t>Lx</t>
  </si>
  <si>
    <t>D</t>
  </si>
  <si>
    <t>Re_D</t>
  </si>
  <si>
    <t>30/01</t>
  </si>
  <si>
    <t>7/29/22 9033077</t>
  </si>
  <si>
    <t>8/1/22 9065688</t>
  </si>
  <si>
    <t>ak</t>
  </si>
  <si>
    <t>k</t>
  </si>
  <si>
    <t>ampl</t>
  </si>
  <si>
    <t>--</t>
  </si>
  <si>
    <t>H</t>
  </si>
  <si>
    <t>u*</t>
  </si>
  <si>
    <t>z0</t>
  </si>
  <si>
    <t>lambda</t>
  </si>
  <si>
    <t>waves</t>
  </si>
  <si>
    <t>turbines</t>
  </si>
  <si>
    <t>wind</t>
  </si>
  <si>
    <t>misc</t>
  </si>
  <si>
    <t>c/u*</t>
  </si>
  <si>
    <t>farm</t>
  </si>
  <si>
    <t>8/25/22 9204985</t>
  </si>
  <si>
    <t>8/25/22 9205179</t>
  </si>
  <si>
    <t>8/25/22 9205697</t>
  </si>
  <si>
    <t>8/25/22 9205726</t>
  </si>
  <si>
    <t>8/25/22 9205735</t>
  </si>
  <si>
    <t>*calculated from monitor/hit of steady run</t>
  </si>
  <si>
    <t>T1</t>
  </si>
  <si>
    <t>T2</t>
  </si>
  <si>
    <t>T3</t>
  </si>
  <si>
    <t>T4</t>
  </si>
  <si>
    <t>T5</t>
  </si>
  <si>
    <t>T6</t>
  </si>
  <si>
    <t>t6</t>
  </si>
  <si>
    <t>8/30/22 9242366</t>
  </si>
  <si>
    <t>approx</t>
  </si>
  <si>
    <t>c/U_inf</t>
  </si>
  <si>
    <t>f</t>
  </si>
  <si>
    <t xml:space="preserve"> </t>
  </si>
  <si>
    <t>13D sapcing</t>
  </si>
  <si>
    <t>8D sapcing</t>
  </si>
  <si>
    <t>domain</t>
  </si>
  <si>
    <t>dx</t>
  </si>
  <si>
    <t>max time</t>
  </si>
  <si>
    <t>standard</t>
  </si>
  <si>
    <t>8D spacing</t>
  </si>
  <si>
    <t>10/11/2022 9463927</t>
  </si>
  <si>
    <t>wave age</t>
  </si>
  <si>
    <t>turbulence intensity</t>
  </si>
  <si>
    <t>wave steepness</t>
  </si>
  <si>
    <t>11/7/22 9583592</t>
  </si>
  <si>
    <t>11/7/22 9583596</t>
  </si>
  <si>
    <t>11/7/22 9583604</t>
  </si>
  <si>
    <t>10a</t>
  </si>
  <si>
    <t>11a</t>
  </si>
  <si>
    <t>wave steepness even smaller</t>
  </si>
  <si>
    <t>standard, no waves</t>
  </si>
  <si>
    <t>8D spacing, no waves</t>
  </si>
  <si>
    <t>8D spacing with turbulence intensity</t>
  </si>
  <si>
    <t>11/11/22 9588549</t>
  </si>
  <si>
    <t>11/11/22 9588550</t>
  </si>
  <si>
    <t>11/11/22 9588551</t>
  </si>
  <si>
    <t>11/11/22 9588593</t>
  </si>
  <si>
    <t>Precursor parameters</t>
  </si>
  <si>
    <t>u_star</t>
  </si>
  <si>
    <t>BL thickness</t>
  </si>
  <si>
    <t>U10</t>
  </si>
  <si>
    <t>TI hub height</t>
  </si>
  <si>
    <t>COLLECTED FROM STAT AT 3000m INTO BUFFER</t>
  </si>
  <si>
    <t>U90</t>
  </si>
  <si>
    <t>kp</t>
  </si>
  <si>
    <t>Hs</t>
  </si>
  <si>
    <t>X</t>
  </si>
  <si>
    <t>HsKp</t>
  </si>
  <si>
    <t>cp</t>
  </si>
  <si>
    <t>Farm run</t>
  </si>
  <si>
    <t>sig_delta</t>
  </si>
  <si>
    <t>sig_2delta</t>
  </si>
  <si>
    <t>base</t>
  </si>
  <si>
    <t>wavelength</t>
  </si>
  <si>
    <t>smaller U10</t>
  </si>
  <si>
    <t>smaller HsKp</t>
  </si>
  <si>
    <t>Description</t>
  </si>
  <si>
    <t>cp/u*</t>
  </si>
  <si>
    <t>bigger HsKp</t>
  </si>
  <si>
    <t>sm U10, sm c/u*</t>
  </si>
  <si>
    <t>smaller c/u*</t>
  </si>
  <si>
    <t>bigger c/u*</t>
  </si>
  <si>
    <t>sm U10, bg c/u*</t>
  </si>
  <si>
    <t>sm U10, sm HsKp</t>
  </si>
  <si>
    <t>sm U10, bg HsKp</t>
  </si>
  <si>
    <t>sf_a</t>
  </si>
  <si>
    <t>10D sapcing</t>
  </si>
  <si>
    <t>sf_b</t>
  </si>
  <si>
    <t>sf_c</t>
  </si>
  <si>
    <t>sf_d</t>
  </si>
  <si>
    <t>running</t>
  </si>
  <si>
    <t>flowthrough</t>
  </si>
  <si>
    <t>noturbs</t>
  </si>
  <si>
    <t>no turbines</t>
  </si>
  <si>
    <t>spin-up</t>
  </si>
  <si>
    <t>12/14/23 10480977</t>
  </si>
  <si>
    <t>12/14/23 10480983</t>
  </si>
  <si>
    <t>12/14/23 10480988</t>
  </si>
  <si>
    <t>12/14/23 10580991</t>
  </si>
  <si>
    <t>directory/name</t>
  </si>
  <si>
    <t>fetch</t>
  </si>
  <si>
    <t>u10 - measured</t>
  </si>
  <si>
    <t>u10 - input</t>
  </si>
  <si>
    <t>usut1</t>
  </si>
  <si>
    <t>newspec_3000m</t>
  </si>
  <si>
    <t>usut2</t>
  </si>
  <si>
    <t>usut3</t>
  </si>
  <si>
    <t>usut4</t>
  </si>
  <si>
    <t>usut5</t>
  </si>
  <si>
    <t>usut6</t>
  </si>
  <si>
    <t>usut7</t>
  </si>
  <si>
    <t>initial vel</t>
  </si>
  <si>
    <t>usut0</t>
  </si>
  <si>
    <t>status</t>
  </si>
  <si>
    <t>initial u*</t>
  </si>
  <si>
    <t>zdelta</t>
  </si>
  <si>
    <t>z2delta</t>
  </si>
  <si>
    <t>u bulk</t>
  </si>
  <si>
    <t>u inf</t>
  </si>
  <si>
    <t>ustar (mean)</t>
  </si>
  <si>
    <t>ustar (min)</t>
  </si>
  <si>
    <t>ustar (max)</t>
  </si>
  <si>
    <t>usut8</t>
  </si>
  <si>
    <t>usut9</t>
  </si>
  <si>
    <t>usut10</t>
  </si>
  <si>
    <t>uinf/u10</t>
  </si>
  <si>
    <t>Re_tau</t>
  </si>
  <si>
    <t>delta_nu</t>
  </si>
  <si>
    <t>time to H</t>
  </si>
  <si>
    <t>u* t / H</t>
  </si>
  <si>
    <t>ub / u*</t>
  </si>
  <si>
    <t>kpHs</t>
  </si>
  <si>
    <t>swusut_base</t>
  </si>
  <si>
    <t>swusut2</t>
  </si>
  <si>
    <t>swusut4</t>
  </si>
  <si>
    <t>swusut6</t>
  </si>
  <si>
    <t>swusut8</t>
  </si>
  <si>
    <t>swusut10</t>
  </si>
  <si>
    <t>usut6_new</t>
  </si>
  <si>
    <t>bad</t>
  </si>
  <si>
    <t>bad (no ensight)</t>
  </si>
  <si>
    <t>ustar_mean</t>
  </si>
  <si>
    <t>bl1</t>
  </si>
  <si>
    <t>swbl1</t>
  </si>
  <si>
    <t>swbl2</t>
  </si>
  <si>
    <t>swbl3</t>
  </si>
  <si>
    <t>swbl4</t>
  </si>
  <si>
    <t>alpha</t>
  </si>
  <si>
    <t>bl5</t>
  </si>
  <si>
    <t>note</t>
  </si>
  <si>
    <t>bl6</t>
  </si>
  <si>
    <t>bl7</t>
  </si>
  <si>
    <t>bl8</t>
  </si>
  <si>
    <t>bl3 with const small alpha (max = 1e-8)</t>
  </si>
  <si>
    <t>bl4 with const small alpha (max = 1e-8)</t>
  </si>
  <si>
    <t>bl2 with Nx = 600</t>
  </si>
  <si>
    <t>bl2 with Nx = 150</t>
  </si>
  <si>
    <t>u10_measured</t>
  </si>
  <si>
    <t>u_bulk</t>
  </si>
  <si>
    <t>u_inf</t>
  </si>
  <si>
    <t>time_to_H</t>
  </si>
  <si>
    <t>ub/u*</t>
  </si>
  <si>
    <t>u*t/H</t>
  </si>
  <si>
    <t>u10_input</t>
  </si>
  <si>
    <t>initial_vel</t>
  </si>
  <si>
    <t>initial_u*</t>
  </si>
  <si>
    <t>bl2_P85</t>
  </si>
  <si>
    <t>bl4</t>
  </si>
  <si>
    <t>bl3</t>
  </si>
  <si>
    <t>bl2</t>
  </si>
  <si>
    <t>P85 with kp = 0.426, Hs = 0.626</t>
  </si>
  <si>
    <t>bl3_P85</t>
  </si>
  <si>
    <t>sp_type</t>
  </si>
  <si>
    <t>js</t>
  </si>
  <si>
    <t>p85</t>
  </si>
  <si>
    <t>bl9</t>
  </si>
  <si>
    <t>bl10</t>
  </si>
  <si>
    <t>bl3 with Nx = 200, P85</t>
  </si>
  <si>
    <t>bl3 with Nx = 750, P85</t>
  </si>
  <si>
    <t>bl2_P85b</t>
  </si>
  <si>
    <t>bl3_P85b</t>
  </si>
  <si>
    <t>P85 with kp = 0.426, Hs = 0.695 (matching total energy to JS)</t>
  </si>
  <si>
    <t>matching total energy to JS</t>
  </si>
  <si>
    <t>bl3_P85_localph</t>
  </si>
  <si>
    <t>same as above but with local alpha</t>
  </si>
  <si>
    <t>bl9_P85_localph</t>
  </si>
  <si>
    <t>bl10_P85_localph</t>
  </si>
  <si>
    <t>bl10_P85</t>
  </si>
  <si>
    <t>bl9_P85</t>
  </si>
  <si>
    <t>bl9_P85_2</t>
  </si>
  <si>
    <t>bl10_P85_2</t>
  </si>
  <si>
    <t>bl9_2</t>
  </si>
  <si>
    <t>bl10_2</t>
  </si>
  <si>
    <t>bl2_dx4</t>
  </si>
  <si>
    <t>bl2_P85_dx4</t>
  </si>
  <si>
    <t>bl2_dx15</t>
  </si>
  <si>
    <t>bl3_P85_dx4</t>
  </si>
  <si>
    <t>bl3_P85_dx15</t>
  </si>
  <si>
    <t>bl3_dx4</t>
  </si>
  <si>
    <t>bl3_dx15</t>
  </si>
  <si>
    <t>bl2_P85_dx15</t>
  </si>
  <si>
    <t>full height (Lz = 600m)</t>
  </si>
  <si>
    <t>prefacotr = 0.051166</t>
  </si>
  <si>
    <t>P = 0.061542</t>
  </si>
  <si>
    <t>bl2_fullh/bl2_fullh_0</t>
  </si>
  <si>
    <t>bl2_fullh/bl2_fullh_10</t>
  </si>
  <si>
    <t>bl2_fullh/bl2_fullh_20</t>
  </si>
  <si>
    <t>time</t>
  </si>
  <si>
    <t>z0_d</t>
  </si>
  <si>
    <t>lambda_p</t>
  </si>
  <si>
    <t>bl2_fh</t>
  </si>
  <si>
    <t>bl2_fh_dx4</t>
  </si>
  <si>
    <t>bl2_fh_dx15</t>
  </si>
  <si>
    <t>bl2_mc</t>
  </si>
  <si>
    <t>bl3_mc</t>
  </si>
  <si>
    <t>mc</t>
  </si>
  <si>
    <t>bl2_fullh/bl2_fullh_1</t>
  </si>
  <si>
    <t>bl2_fullh/bl2_fullh_2</t>
  </si>
  <si>
    <t>bl2_fullh/bl2_fullh_3</t>
  </si>
  <si>
    <t>bl2_fullh/bl2_fullh_4</t>
  </si>
  <si>
    <t>bl2_fullh/bl2_fullh_5</t>
  </si>
  <si>
    <t>bl2_fullh/bl2_fullh_6</t>
  </si>
  <si>
    <t>bl2_fullh/bl2_fullh_7</t>
  </si>
  <si>
    <t>bl2_fullh/bl2_fullh_8</t>
  </si>
  <si>
    <t>bl2_fullh/bl2_fullh_9</t>
  </si>
  <si>
    <t>bl2_fullh/bl2_fullh_11</t>
  </si>
  <si>
    <t>bl2_fullh/bl2_fullh_12</t>
  </si>
  <si>
    <t>bl2_fullh/bl2_fullh_13</t>
  </si>
  <si>
    <t>bl2_fullh/bl2_fullh_14</t>
  </si>
  <si>
    <t>bl2_fullh/bl2_fullh_15</t>
  </si>
  <si>
    <t>bl2_fullh/bl2_fullh_16</t>
  </si>
  <si>
    <t>bl2_fullh/bl2_fullh_17</t>
  </si>
  <si>
    <t>bl2_fullh/bl2_fullh_18</t>
  </si>
  <si>
    <t>bl2_fullh/bl2_fullh_19</t>
  </si>
  <si>
    <t>lam/2dx</t>
  </si>
  <si>
    <t>lam/dx</t>
  </si>
  <si>
    <t>prefactor</t>
  </si>
  <si>
    <t>kd_wtd</t>
  </si>
  <si>
    <t>k2d_wtd</t>
  </si>
  <si>
    <t>INPUTS</t>
  </si>
  <si>
    <t>NONDIMS</t>
  </si>
  <si>
    <t>U21_HS12_kp07</t>
  </si>
  <si>
    <t>U18_HS12_kp07</t>
  </si>
  <si>
    <t>U15_HS12_kp07</t>
  </si>
  <si>
    <t>U18_HS20_kp07</t>
  </si>
  <si>
    <t>U18_HS04_kp07</t>
  </si>
  <si>
    <t>U18_HS12_kp04</t>
  </si>
  <si>
    <t>U18_HS12_kp16</t>
  </si>
  <si>
    <t>U24_HS12_kp07</t>
  </si>
  <si>
    <t>blA_dx4_sq</t>
  </si>
  <si>
    <t>blA_dx8_sq</t>
  </si>
  <si>
    <t>blA_dx16_sq</t>
  </si>
  <si>
    <t>blB_dx4_sq</t>
  </si>
  <si>
    <t>blB_dx8_sq</t>
  </si>
  <si>
    <t>blB_dx16_sq</t>
  </si>
  <si>
    <t>blC_dx4_sq</t>
  </si>
  <si>
    <t>blC_dx8_sq</t>
  </si>
  <si>
    <t>blC_dx16_sq</t>
  </si>
  <si>
    <t>frac_E_res</t>
  </si>
  <si>
    <t>1.6tb</t>
  </si>
  <si>
    <t>138 gb</t>
  </si>
  <si>
    <t>41 gs bb</t>
  </si>
  <si>
    <t>c_eq</t>
  </si>
  <si>
    <t>blA_dx16_fh</t>
  </si>
  <si>
    <t>blB_dx4_fh</t>
  </si>
  <si>
    <t>blB_dx8_fh</t>
  </si>
  <si>
    <t>blB_dx16_fh</t>
  </si>
  <si>
    <t>blC_dx4_fh</t>
  </si>
  <si>
    <t>blC_dx8_fh</t>
  </si>
  <si>
    <t>blC_dx16_fh</t>
  </si>
  <si>
    <t>blA_dx4_fh</t>
  </si>
  <si>
    <t>blA_dx8_fh</t>
  </si>
  <si>
    <t>running st</t>
  </si>
  <si>
    <t>blB_dx8_sq_long</t>
  </si>
  <si>
    <t>-</t>
  </si>
  <si>
    <t>CU6</t>
  </si>
  <si>
    <t>CU10</t>
  </si>
  <si>
    <t>CU18</t>
  </si>
  <si>
    <t>CU6_ns</t>
  </si>
  <si>
    <t>CU10_ns</t>
  </si>
  <si>
    <t>CU18_ns</t>
  </si>
  <si>
    <t>CU6_glob</t>
  </si>
  <si>
    <t>CU10_glob</t>
  </si>
  <si>
    <t>CU18_glob</t>
  </si>
  <si>
    <t>ustar_upvp</t>
  </si>
  <si>
    <t>cp/U10</t>
  </si>
  <si>
    <t>cp/u* (u'v')</t>
  </si>
  <si>
    <t>pgrad_HS04</t>
  </si>
  <si>
    <t>pgrad_HS12</t>
  </si>
  <si>
    <t>pgrad_HS20</t>
  </si>
  <si>
    <t>pgrad 0.00025</t>
  </si>
  <si>
    <t>U18_HS12_kp04_swell</t>
  </si>
  <si>
    <t>with swell</t>
  </si>
  <si>
    <t>CU10_wfluc</t>
  </si>
  <si>
    <t>U24_HS12_kp07_swell</t>
  </si>
  <si>
    <t>U21_HS12_kp07_swell</t>
  </si>
  <si>
    <t>U18_HS12_kp07_swell</t>
  </si>
  <si>
    <t>U15_HS12_kp07_swell</t>
  </si>
  <si>
    <t>U18_HS20_kp07_swell</t>
  </si>
  <si>
    <t>U18_HS04_kp07_swell</t>
  </si>
  <si>
    <t>U18_HS12_kp16_swell</t>
  </si>
  <si>
    <t>done rmp</t>
  </si>
  <si>
    <t>U24_just_steady</t>
  </si>
  <si>
    <t>U24_just_steady_swell</t>
  </si>
  <si>
    <t>HS04_js</t>
  </si>
  <si>
    <t>kp04_js</t>
  </si>
  <si>
    <t>HS04_js_match</t>
  </si>
  <si>
    <t>kp04_js_match</t>
  </si>
  <si>
    <t>HS20_js</t>
  </si>
  <si>
    <t>HS20_js_match</t>
  </si>
  <si>
    <t>kp16_js</t>
  </si>
  <si>
    <t>kp16_js_match</t>
  </si>
  <si>
    <t>running rmp</t>
  </si>
  <si>
    <t>U24_HS04_js</t>
  </si>
  <si>
    <t>U24_HS04_js_match</t>
  </si>
  <si>
    <t>U24_kp04_js</t>
  </si>
  <si>
    <t>U24_kp04_js_match</t>
  </si>
  <si>
    <t>U24_HS20_js</t>
  </si>
  <si>
    <t>U24_HS20_js_match</t>
  </si>
  <si>
    <t>U24_kp16_js</t>
  </si>
  <si>
    <t>U24_kp16_js_match</t>
  </si>
  <si>
    <t>U12_HS04_js</t>
  </si>
  <si>
    <t>U12_HS04_js_match</t>
  </si>
  <si>
    <t>U12_kp04_js</t>
  </si>
  <si>
    <t>U12_kp04_js_match</t>
  </si>
  <si>
    <t>U12_HS20_js</t>
  </si>
  <si>
    <t>U12_HS20_js_match</t>
  </si>
  <si>
    <t>U12_kp16_js</t>
  </si>
  <si>
    <t>U12_kp16_js_match</t>
  </si>
  <si>
    <t>U24_HS20_kp07_swell</t>
  </si>
  <si>
    <t>U24_HS04_kp07_swell</t>
  </si>
  <si>
    <t>U24_HS12_kp04_swell</t>
  </si>
  <si>
    <t>U24_HS12_kp16_swell</t>
  </si>
  <si>
    <t>U12_HS20_kp07_swell</t>
  </si>
  <si>
    <t>U12_HS04_kp07_swell</t>
  </si>
  <si>
    <t>U12_HS12_kp04_swell</t>
  </si>
  <si>
    <t>U12_HS12_kp16_swell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</si>
</sst>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E+00"/>
    <numFmt numFmtId="165" formatCode="0.00000"/>
    <numFmt numFmtId="166" formatCode="0.0"/>
    <numFmt numFmtId="167" formatCode="0.000"/>
    <numFmt numFmtId="168" formatCode="0.0000"/>
    <numFmt numFmtId="169" formatCode="0.000E+0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8D8FF"/>
        <bgColor indexed="64"/>
      </patternFill>
    </fill>
    <fill>
      <patternFill patternType="solid">
        <fgColor rgb="FFCCE8BC"/>
        <bgColor indexed="64"/>
      </patternFill>
    </fill>
    <fill>
      <patternFill patternType="solid">
        <fgColor rgb="FFC4E5F1"/>
        <bgColor indexed="64"/>
      </patternFill>
    </fill>
    <fill>
      <patternFill patternType="solid">
        <fgColor rgb="FFFEFDD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FFC"/>
        <bgColor indexed="64"/>
      </patternFill>
    </fill>
    <fill>
      <patternFill patternType="solid">
        <fgColor rgb="FFD2F1F6"/>
        <bgColor indexed="64"/>
      </patternFill>
    </fill>
    <fill>
      <patternFill patternType="solid">
        <fgColor rgb="FFE5EEF1"/>
        <bgColor indexed="64"/>
      </patternFill>
    </fill>
    <fill>
      <patternFill patternType="solid">
        <fgColor rgb="FFB4E1F1"/>
        <bgColor indexed="64"/>
      </patternFill>
    </fill>
    <fill>
      <patternFill patternType="solid">
        <fgColor rgb="FFCDE8F1"/>
        <bgColor indexed="64"/>
      </patternFill>
    </fill>
    <fill>
      <patternFill patternType="solid">
        <fgColor rgb="FF9DDBF1"/>
        <bgColor indexed="64"/>
      </patternFill>
    </fill>
    <fill>
      <patternFill patternType="solid">
        <fgColor rgb="FFEBFAFF"/>
        <bgColor indexed="64"/>
      </patternFill>
    </fill>
    <fill>
      <patternFill patternType="solid">
        <fgColor rgb="FFD8FF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0C3"/>
        <bgColor indexed="64"/>
      </patternFill>
    </fill>
    <fill>
      <patternFill patternType="solid">
        <fgColor rgb="FFECFBE0"/>
        <bgColor indexed="64"/>
      </patternFill>
    </fill>
    <fill>
      <patternFill patternType="solid">
        <fgColor rgb="FFD6CAFA"/>
        <bgColor indexed="64"/>
      </patternFill>
    </fill>
    <fill>
      <patternFill patternType="solid">
        <fgColor rgb="FFFFE4F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CF1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8FFD8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center" vertical="center"/>
    </xf>
    <xf numFmtId="11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14" fontId="0" fillId="6" borderId="0" xfId="0" applyNumberForma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0" fillId="7" borderId="0" xfId="0" applyNumberFormat="1" applyFill="1" applyAlignment="1">
      <alignment horizontal="center" vertical="center"/>
    </xf>
    <xf numFmtId="11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5" fontId="0" fillId="13" borderId="0" xfId="0" applyNumberForma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167" fontId="0" fillId="0" borderId="0" xfId="0" applyNumberFormat="1" applyAlignment="1">
      <alignment horizontal="center" vertical="center"/>
    </xf>
    <xf numFmtId="167" fontId="0" fillId="13" borderId="0" xfId="0" applyNumberFormat="1" applyFill="1" applyAlignment="1">
      <alignment horizontal="center" vertical="center"/>
    </xf>
    <xf numFmtId="0" fontId="6" fillId="0" borderId="0" xfId="0" applyFont="1" applyAlignment="1">
      <alignment horizontal="right"/>
    </xf>
    <xf numFmtId="2" fontId="6" fillId="0" borderId="0" xfId="0" applyNumberFormat="1" applyFont="1"/>
    <xf numFmtId="49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66" fontId="0" fillId="15" borderId="0" xfId="0" applyNumberFormat="1" applyFill="1" applyAlignment="1">
      <alignment horizontal="center" vertical="center"/>
    </xf>
    <xf numFmtId="165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vertical="center" wrapText="1"/>
    </xf>
    <xf numFmtId="0" fontId="0" fillId="15" borderId="0" xfId="0" applyFill="1" applyAlignment="1">
      <alignment horizontal="left" vertical="center"/>
    </xf>
    <xf numFmtId="14" fontId="0" fillId="0" borderId="0" xfId="0" quotePrefix="1" applyNumberFormat="1" applyAlignment="1">
      <alignment horizontal="center" vertical="center" wrapText="1"/>
    </xf>
    <xf numFmtId="164" fontId="5" fillId="7" borderId="0" xfId="0" applyNumberFormat="1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4" fontId="0" fillId="7" borderId="0" xfId="0" quotePrefix="1" applyNumberFormat="1" applyFill="1" applyAlignment="1">
      <alignment horizontal="center" vertical="center" wrapText="1"/>
    </xf>
    <xf numFmtId="167" fontId="0" fillId="11" borderId="0" xfId="0" applyNumberFormat="1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7" fontId="8" fillId="13" borderId="0" xfId="0" applyNumberFormat="1" applyFont="1" applyFill="1" applyAlignment="1">
      <alignment horizontal="center" vertical="center"/>
    </xf>
    <xf numFmtId="2" fontId="8" fillId="13" borderId="0" xfId="0" applyNumberFormat="1" applyFont="1" applyFill="1" applyAlignment="1">
      <alignment horizontal="center" vertical="center"/>
    </xf>
    <xf numFmtId="14" fontId="8" fillId="0" borderId="0" xfId="0" quotePrefix="1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2" fontId="9" fillId="13" borderId="0" xfId="0" applyNumberFormat="1" applyFont="1" applyFill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 wrapText="1"/>
    </xf>
    <xf numFmtId="168" fontId="9" fillId="13" borderId="0" xfId="0" applyNumberFormat="1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49" fontId="10" fillId="19" borderId="0" xfId="0" applyNumberFormat="1" applyFont="1" applyFill="1" applyAlignment="1">
      <alignment horizontal="center" vertical="center"/>
    </xf>
    <xf numFmtId="167" fontId="9" fillId="17" borderId="0" xfId="0" applyNumberFormat="1" applyFont="1" applyFill="1" applyAlignment="1">
      <alignment horizontal="center" vertical="center"/>
    </xf>
    <xf numFmtId="168" fontId="9" fillId="17" borderId="0" xfId="0" applyNumberFormat="1" applyFont="1" applyFill="1" applyAlignment="1">
      <alignment horizontal="center" vertical="center"/>
    </xf>
    <xf numFmtId="0" fontId="9" fillId="0" borderId="0" xfId="0" applyFon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11" fillId="0" borderId="2" xfId="0" applyFont="1" applyBorder="1" applyAlignment="1">
      <alignment vertical="center"/>
    </xf>
    <xf numFmtId="0" fontId="11" fillId="11" borderId="2" xfId="0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0" fontId="0" fillId="0" borderId="5" xfId="0" applyBorder="1"/>
    <xf numFmtId="167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1" fillId="19" borderId="2" xfId="0" applyFont="1" applyFill="1" applyBorder="1" applyAlignment="1">
      <alignment vertical="center"/>
    </xf>
    <xf numFmtId="0" fontId="11" fillId="14" borderId="2" xfId="0" applyFont="1" applyFill="1" applyBorder="1" applyAlignment="1">
      <alignment vertical="center"/>
    </xf>
    <xf numFmtId="0" fontId="0" fillId="19" borderId="0" xfId="0" applyFill="1"/>
    <xf numFmtId="0" fontId="0" fillId="20" borderId="0" xfId="0" applyFill="1"/>
    <xf numFmtId="0" fontId="9" fillId="20" borderId="3" xfId="0" applyFont="1" applyFill="1" applyBorder="1" applyAlignment="1">
      <alignment vertical="center"/>
    </xf>
    <xf numFmtId="0" fontId="0" fillId="20" borderId="0" xfId="0" applyFill="1" applyAlignment="1">
      <alignment vertical="center"/>
    </xf>
    <xf numFmtId="2" fontId="0" fillId="20" borderId="0" xfId="0" applyNumberFormat="1" applyFill="1" applyAlignment="1">
      <alignment vertical="center"/>
    </xf>
    <xf numFmtId="1" fontId="0" fillId="20" borderId="0" xfId="0" applyNumberFormat="1" applyFill="1" applyAlignment="1">
      <alignment vertical="center"/>
    </xf>
    <xf numFmtId="166" fontId="0" fillId="20" borderId="0" xfId="0" applyNumberFormat="1" applyFill="1" applyAlignment="1">
      <alignment vertical="center"/>
    </xf>
    <xf numFmtId="165" fontId="0" fillId="20" borderId="0" xfId="0" applyNumberFormat="1" applyFill="1" applyAlignment="1">
      <alignment vertical="center"/>
    </xf>
    <xf numFmtId="168" fontId="0" fillId="20" borderId="0" xfId="0" applyNumberFormat="1" applyFill="1" applyAlignment="1">
      <alignment vertical="center"/>
    </xf>
    <xf numFmtId="167" fontId="0" fillId="20" borderId="0" xfId="0" applyNumberFormat="1" applyFill="1" applyAlignment="1">
      <alignment vertical="center"/>
    </xf>
    <xf numFmtId="0" fontId="9" fillId="21" borderId="3" xfId="0" applyFont="1" applyFill="1" applyBorder="1" applyAlignment="1">
      <alignment vertical="center"/>
    </xf>
    <xf numFmtId="0" fontId="0" fillId="21" borderId="0" xfId="0" applyFill="1" applyAlignment="1">
      <alignment vertical="center"/>
    </xf>
    <xf numFmtId="2" fontId="0" fillId="21" borderId="0" xfId="0" applyNumberFormat="1" applyFill="1" applyAlignment="1">
      <alignment vertical="center"/>
    </xf>
    <xf numFmtId="1" fontId="0" fillId="21" borderId="0" xfId="0" applyNumberFormat="1" applyFill="1" applyAlignment="1">
      <alignment vertical="center"/>
    </xf>
    <xf numFmtId="165" fontId="0" fillId="21" borderId="0" xfId="0" applyNumberFormat="1" applyFill="1" applyAlignment="1">
      <alignment vertical="center"/>
    </xf>
    <xf numFmtId="168" fontId="0" fillId="21" borderId="0" xfId="0" applyNumberFormat="1" applyFill="1" applyAlignment="1">
      <alignment vertical="center"/>
    </xf>
    <xf numFmtId="167" fontId="0" fillId="21" borderId="0" xfId="0" applyNumberFormat="1" applyFill="1" applyAlignment="1">
      <alignment vertical="center"/>
    </xf>
    <xf numFmtId="169" fontId="0" fillId="21" borderId="0" xfId="0" applyNumberFormat="1" applyFill="1" applyAlignment="1">
      <alignment vertical="center"/>
    </xf>
    <xf numFmtId="0" fontId="0" fillId="0" borderId="0" xfId="0" quotePrefix="1" applyAlignment="1">
      <alignment vertical="center"/>
    </xf>
    <xf numFmtId="167" fontId="0" fillId="0" borderId="0" xfId="0" applyNumberFormat="1"/>
    <xf numFmtId="168" fontId="0" fillId="22" borderId="0" xfId="0" applyNumberFormat="1" applyFill="1" applyAlignment="1">
      <alignment vertical="center"/>
    </xf>
    <xf numFmtId="168" fontId="5" fillId="0" borderId="0" xfId="0" applyNumberFormat="1" applyFont="1" applyAlignment="1">
      <alignment vertical="center"/>
    </xf>
    <xf numFmtId="167" fontId="0" fillId="0" borderId="5" xfId="0" applyNumberFormat="1" applyBorder="1" applyAlignment="1">
      <alignment vertical="center"/>
    </xf>
    <xf numFmtId="0" fontId="5" fillId="2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9" fillId="22" borderId="3" xfId="0" applyFont="1" applyFill="1" applyBorder="1" applyAlignment="1">
      <alignment vertical="center"/>
    </xf>
    <xf numFmtId="0" fontId="0" fillId="22" borderId="0" xfId="0" applyFill="1" applyAlignment="1">
      <alignment vertical="center"/>
    </xf>
    <xf numFmtId="169" fontId="0" fillId="22" borderId="0" xfId="0" applyNumberFormat="1" applyFill="1" applyAlignment="1">
      <alignment vertical="center"/>
    </xf>
    <xf numFmtId="2" fontId="0" fillId="22" borderId="0" xfId="0" applyNumberFormat="1" applyFill="1" applyAlignment="1">
      <alignment vertical="center"/>
    </xf>
    <xf numFmtId="1" fontId="0" fillId="22" borderId="0" xfId="0" applyNumberFormat="1" applyFill="1" applyAlignment="1">
      <alignment vertical="center"/>
    </xf>
    <xf numFmtId="166" fontId="0" fillId="22" borderId="0" xfId="0" applyNumberFormat="1" applyFill="1" applyAlignment="1">
      <alignment vertical="center"/>
    </xf>
    <xf numFmtId="165" fontId="0" fillId="22" borderId="0" xfId="0" applyNumberFormat="1" applyFill="1" applyAlignment="1">
      <alignment vertical="center"/>
    </xf>
    <xf numFmtId="167" fontId="0" fillId="22" borderId="0" xfId="0" applyNumberFormat="1" applyFill="1" applyAlignment="1">
      <alignment vertical="center"/>
    </xf>
    <xf numFmtId="0" fontId="0" fillId="22" borderId="0" xfId="0" applyFill="1"/>
    <xf numFmtId="168" fontId="5" fillId="22" borderId="0" xfId="0" applyNumberFormat="1" applyFont="1" applyFill="1" applyAlignment="1">
      <alignment vertical="center"/>
    </xf>
    <xf numFmtId="0" fontId="0" fillId="11" borderId="0" xfId="0" applyFill="1" applyAlignment="1">
      <alignment horizontal="center"/>
    </xf>
    <xf numFmtId="11" fontId="0" fillId="20" borderId="0" xfId="0" applyNumberFormat="1" applyFill="1" applyAlignment="1">
      <alignment vertical="center"/>
    </xf>
    <xf numFmtId="11" fontId="0" fillId="22" borderId="0" xfId="0" applyNumberFormat="1" applyFill="1" applyAlignment="1">
      <alignment vertical="center"/>
    </xf>
    <xf numFmtId="166" fontId="0" fillId="0" borderId="0" xfId="0" applyNumberFormat="1"/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9" borderId="0" xfId="0" applyFill="1" applyAlignment="1">
      <alignment horizontal="center"/>
    </xf>
    <xf numFmtId="49" fontId="9" fillId="18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EFDD6"/>
        </patternFill>
      </fill>
    </dxf>
    <dxf>
      <fill>
        <patternFill patternType="none">
          <bgColor auto="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FEFDD6"/>
        </patternFill>
      </fill>
    </dxf>
    <dxf>
      <fill>
        <patternFill patternType="none">
          <bgColor auto="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FEFDD6"/>
        </patternFill>
      </fill>
    </dxf>
    <dxf>
      <fill>
        <patternFill patternType="none">
          <bgColor auto="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</dxfs>
  <tableStyles count="0" defaultTableStyle="TableStyleMedium2" defaultPivotStyle="PivotStyleLight16"/>
  <colors>
    <mruColors>
      <color rgb="FFECF1FF"/>
      <color rgb="FFEBFAFF"/>
      <color rgb="FFEDEDED"/>
      <color rgb="FFD8FFD8"/>
      <color rgb="FFCDE8F1"/>
      <color rgb="FFFFE4F9"/>
      <color rgb="FFECFBE0"/>
      <color rgb="FFFFC7C9"/>
      <color rgb="FFFF9AA8"/>
      <color rgb="FFFFF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'boundary_layers&gt;ustar_u10'!$H$1</c:f>
              <c:strCache>
                <c:ptCount val="1"/>
                <c:pt idx="0">
                  <c:v>time to 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'boundary_layers&gt;ustar_u10'!$F$2:$F$14</c:f>
              <c:numCache>
                <c:formatCode>General</c:formatCode>
                <c:ptCount val="13"/>
                <c:pt idx="0">
                  <c:v>18.266999999999999</c:v>
                </c:pt>
                <c:pt idx="1">
                  <c:v>11.994999999999999</c:v>
                </c:pt>
                <c:pt idx="2">
                  <c:v>11.976000000000001</c:v>
                </c:pt>
                <c:pt idx="3">
                  <c:v>18.657</c:v>
                </c:pt>
                <c:pt idx="4">
                  <c:v>19.184000000000001</c:v>
                </c:pt>
                <c:pt idx="5">
                  <c:v>19.323</c:v>
                </c:pt>
                <c:pt idx="6" formatCode="#,##0">
                  <c:v>7.4189999999999996</c:v>
                </c:pt>
                <c:pt idx="7">
                  <c:v>23.632999999999999</c:v>
                </c:pt>
                <c:pt idx="8">
                  <c:v>18.681000000000001</c:v>
                </c:pt>
                <c:pt idx="9">
                  <c:v>19.177</c:v>
                </c:pt>
                <c:pt idx="10">
                  <c:v>19.117999999999999</c:v>
                </c:pt>
                <c:pt idx="11">
                  <c:v>7.4409999999999998</c:v>
                </c:pt>
                <c:pt idx="12">
                  <c:v>23.623999999999999</c:v>
                </c:pt>
              </c:numCache>
            </c:numRef>
          </c:xVal>
          <c:yVal>
            <c:numRef>
              <c:f>'boundary_layers&gt;ustar_u10'!$H$2:$H$14</c:f>
              <c:numCache>
                <c:formatCode>General</c:formatCode>
                <c:ptCount val="13"/>
                <c:pt idx="0">
                  <c:v>2917</c:v>
                </c:pt>
                <c:pt idx="1">
                  <c:v>4561</c:v>
                </c:pt>
                <c:pt idx="2">
                  <c:v>5161</c:v>
                </c:pt>
                <c:pt idx="3">
                  <c:v>3849</c:v>
                </c:pt>
                <c:pt idx="4">
                  <c:v>2666</c:v>
                </c:pt>
                <c:pt idx="5">
                  <c:v>3114</c:v>
                </c:pt>
                <c:pt idx="6">
                  <c:v>8465</c:v>
                </c:pt>
                <c:pt idx="7">
                  <c:v>1933</c:v>
                </c:pt>
                <c:pt idx="8">
                  <c:v>3663</c:v>
                </c:pt>
                <c:pt idx="9">
                  <c:v>2701</c:v>
                </c:pt>
                <c:pt idx="10">
                  <c:v>3000</c:v>
                </c:pt>
                <c:pt idx="11">
                  <c:v>7862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8-3640-9F48-FA6F0BDA3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62144"/>
        <c:axId val="335163856"/>
      </c:scatterChart>
      <c:valAx>
        <c:axId val="335162144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3856"/>
        <c:crosses val="autoZero"/>
        <c:crossBetween val="midCat"/>
      </c:valAx>
      <c:valAx>
        <c:axId val="3351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H = 600m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H (nondimensional)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'boundary_layers&gt;ustar_u10'!$H$1</c:f>
              <c:strCache>
                <c:ptCount val="1"/>
                <c:pt idx="0">
                  <c:v>time to 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'boundary_layers&gt;ustar_u10'!$J$2:$J$14</c:f>
              <c:numCache>
                <c:formatCode>0.00</c:formatCode>
                <c:ptCount val="13"/>
                <c:pt idx="0">
                  <c:v>28.233384853168467</c:v>
                </c:pt>
                <c:pt idx="1">
                  <c:v>31.400523560209422</c:v>
                </c:pt>
                <c:pt idx="2">
                  <c:v>32.721311475409841</c:v>
                </c:pt>
                <c:pt idx="3">
                  <c:v>40.122580645161285</c:v>
                </c:pt>
                <c:pt idx="4">
                  <c:v>28.632835820895522</c:v>
                </c:pt>
                <c:pt idx="5">
                  <c:v>31.833607907743001</c:v>
                </c:pt>
                <c:pt idx="6">
                  <c:v>39.887096774193544</c:v>
                </c:pt>
                <c:pt idx="7">
                  <c:v>27.102064220183486</c:v>
                </c:pt>
                <c:pt idx="8">
                  <c:v>39.662420382165607</c:v>
                </c:pt>
                <c:pt idx="9">
                  <c:v>27.914119359534205</c:v>
                </c:pt>
                <c:pt idx="10">
                  <c:v>29.36712749615975</c:v>
                </c:pt>
                <c:pt idx="11">
                  <c:v>40.221621621621622</c:v>
                </c:pt>
                <c:pt idx="12">
                  <c:v>27.630409356725146</c:v>
                </c:pt>
              </c:numCache>
            </c:numRef>
          </c:xVal>
          <c:yVal>
            <c:numRef>
              <c:f>'boundary_layers&gt;ustar_u10'!$K$2:$K$14</c:f>
              <c:numCache>
                <c:formatCode>0.00</c:formatCode>
                <c:ptCount val="13"/>
                <c:pt idx="0">
                  <c:v>3.1454983333333333</c:v>
                </c:pt>
                <c:pt idx="1">
                  <c:v>2.9038366666666668</c:v>
                </c:pt>
                <c:pt idx="2">
                  <c:v>3.1482099999999997</c:v>
                </c:pt>
                <c:pt idx="3">
                  <c:v>2.9829750000000002</c:v>
                </c:pt>
                <c:pt idx="4">
                  <c:v>2.9770333333333334</c:v>
                </c:pt>
                <c:pt idx="5">
                  <c:v>3.1503299999999999</c:v>
                </c:pt>
                <c:pt idx="6">
                  <c:v>2.6241500000000002</c:v>
                </c:pt>
                <c:pt idx="7">
                  <c:v>2.8092933333333332</c:v>
                </c:pt>
                <c:pt idx="8">
                  <c:v>2.8754549999999997</c:v>
                </c:pt>
                <c:pt idx="9">
                  <c:v>3.0926450000000005</c:v>
                </c:pt>
                <c:pt idx="10">
                  <c:v>3.2549999999999999</c:v>
                </c:pt>
                <c:pt idx="11">
                  <c:v>2.4241166666666669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2-D94C-89FC-8E4309D48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62144"/>
        <c:axId val="335163856"/>
      </c:scatterChart>
      <c:valAx>
        <c:axId val="33516214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U_b / u*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3856"/>
        <c:crosses val="autoZero"/>
        <c:crossBetween val="midCat"/>
      </c:valAx>
      <c:valAx>
        <c:axId val="3351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u*</a:t>
                </a:r>
                <a:r>
                  <a:rPr lang="en-US" baseline="0"/>
                  <a:t> /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28</xdr:row>
      <xdr:rowOff>152406</xdr:rowOff>
    </xdr:from>
    <xdr:to>
      <xdr:col>7</xdr:col>
      <xdr:colOff>635000</xdr:colOff>
      <xdr:row>44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382186-0469-90BA-2900-58D105EAC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63500</xdr:colOff>
      <xdr:row>28</xdr:row>
      <xdr:rowOff>127000</xdr:rowOff>
    </xdr:from>
    <xdr:to>
      <xdr:col>17</xdr:col>
      <xdr:colOff>488950</xdr:colOff>
      <xdr:row>44</xdr:row>
      <xdr:rowOff>165094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AD495B-AA0C-844A-A1C7-F1B644022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8598-3541-B947-8906-173B4FAFB84E}">
  <dimension ref="A1:AH59"/>
  <sheetViews>
    <sheetView tabSelected="1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D53" sqref="D53"/>
    </sheetView>
  </sheetViews>
  <sheetFormatPr baseColWidth="10" defaultRowHeight="16" x14ac:dyDescent="0.2"/>
  <cols>
    <col min="1" max="1" width="21.83203125" customWidth="1"/>
    <col min="2" max="3" width="13.33203125" customWidth="1"/>
    <col min="4" max="4" width="17.5" customWidth="1"/>
    <col min="5" max="5" width="8.83203125" customWidth="1"/>
    <col min="6" max="6" width="7.33203125" customWidth="1"/>
    <col min="7" max="7" width="12.83203125" customWidth="1"/>
    <col min="8" max="8" width="7.33203125" customWidth="1"/>
    <col min="9" max="9" width="8.6640625" customWidth="1"/>
    <col min="10" max="10" width="8.33203125" customWidth="1"/>
    <col min="11" max="11" width="5.6640625" customWidth="1"/>
    <col min="12" max="13" width="6.33203125" customWidth="1"/>
    <col min="14" max="14" width="7.5" customWidth="1"/>
    <col min="16" max="16" width="10.1640625" customWidth="1"/>
    <col min="17" max="17" width="11.6640625" customWidth="1"/>
    <col min="18" max="18" width="12" customWidth="1"/>
    <col min="19" max="24" width="10.83203125" customWidth="1"/>
    <col min="29" max="29" width="12.1640625" customWidth="1"/>
    <col min="32" max="32" width="11.33203125" customWidth="1"/>
  </cols>
  <sheetData>
    <row r="1" spans="1:34" ht="30" customHeight="1" x14ac:dyDescent="0.2">
      <c r="L1" s="174" t="s">
        <v>366</v>
      </c>
      <c r="M1" s="174"/>
      <c r="N1" s="174"/>
      <c r="O1" s="174"/>
      <c r="P1" s="170"/>
      <c r="Q1" s="170"/>
      <c r="S1" s="135" t="s">
        <v>366</v>
      </c>
      <c r="T1" s="135"/>
      <c r="U1" s="135"/>
      <c r="V1" s="135"/>
      <c r="W1" s="135"/>
      <c r="X1" s="135"/>
      <c r="AB1" s="175" t="s">
        <v>367</v>
      </c>
      <c r="AC1" s="175"/>
      <c r="AD1" s="175"/>
      <c r="AE1" s="175"/>
    </row>
    <row r="2" spans="1:34" ht="30" customHeight="1" thickBot="1" x14ac:dyDescent="0.25">
      <c r="A2" s="120" t="s">
        <v>226</v>
      </c>
      <c r="B2" s="118" t="s">
        <v>268</v>
      </c>
      <c r="C2" s="118" t="s">
        <v>411</v>
      </c>
      <c r="D2" s="118" t="s">
        <v>284</v>
      </c>
      <c r="E2" s="118" t="s">
        <v>285</v>
      </c>
      <c r="F2" s="118" t="s">
        <v>286</v>
      </c>
      <c r="G2" s="118" t="s">
        <v>287</v>
      </c>
      <c r="H2" s="118" t="s">
        <v>274</v>
      </c>
      <c r="I2" s="118" t="s">
        <v>288</v>
      </c>
      <c r="J2" s="118" t="s">
        <v>289</v>
      </c>
      <c r="K2" s="118" t="s">
        <v>122</v>
      </c>
      <c r="L2" s="119" t="s">
        <v>45</v>
      </c>
      <c r="M2" s="119" t="s">
        <v>163</v>
      </c>
      <c r="N2" s="119" t="s">
        <v>191</v>
      </c>
      <c r="O2" s="119" t="s">
        <v>192</v>
      </c>
      <c r="P2" s="119" t="s">
        <v>227</v>
      </c>
      <c r="Q2" s="119" t="s">
        <v>290</v>
      </c>
      <c r="R2" s="118" t="s">
        <v>240</v>
      </c>
      <c r="S2" s="133" t="s">
        <v>292</v>
      </c>
      <c r="T2" s="133" t="s">
        <v>363</v>
      </c>
      <c r="U2" s="133" t="s">
        <v>242</v>
      </c>
      <c r="V2" s="133" t="s">
        <v>243</v>
      </c>
      <c r="W2" s="133" t="s">
        <v>364</v>
      </c>
      <c r="X2" s="133" t="s">
        <v>365</v>
      </c>
      <c r="Y2" s="118" t="s">
        <v>195</v>
      </c>
      <c r="Z2" s="118" t="s">
        <v>336</v>
      </c>
      <c r="AA2" s="118" t="s">
        <v>362</v>
      </c>
      <c r="AB2" s="134" t="s">
        <v>204</v>
      </c>
      <c r="AC2" s="134" t="s">
        <v>413</v>
      </c>
      <c r="AD2" s="134" t="s">
        <v>412</v>
      </c>
      <c r="AE2" s="134" t="s">
        <v>258</v>
      </c>
      <c r="AF2" s="118" t="s">
        <v>385</v>
      </c>
      <c r="AG2" s="118" t="s">
        <v>299</v>
      </c>
      <c r="AH2" s="118" t="s">
        <v>276</v>
      </c>
    </row>
    <row r="3" spans="1:34" ht="30" customHeight="1" x14ac:dyDescent="0.2">
      <c r="A3" s="121" t="s">
        <v>375</v>
      </c>
      <c r="B3">
        <v>0.95499999999999996</v>
      </c>
      <c r="C3">
        <v>0.84799999999999998</v>
      </c>
      <c r="D3" s="116">
        <v>14.66</v>
      </c>
      <c r="E3" s="116"/>
      <c r="F3">
        <v>24</v>
      </c>
      <c r="I3" s="123">
        <f>E3/B3</f>
        <v>0</v>
      </c>
      <c r="J3" s="123">
        <f>G3*B3/600</f>
        <v>0</v>
      </c>
      <c r="K3" s="126">
        <v>3000</v>
      </c>
      <c r="L3" s="126">
        <f>INT(K3/M3)</f>
        <v>375</v>
      </c>
      <c r="M3" s="123">
        <v>8</v>
      </c>
      <c r="N3" s="116">
        <v>7.85E-2</v>
      </c>
      <c r="O3" s="122">
        <v>1.2</v>
      </c>
      <c r="P3" s="117"/>
      <c r="Q3" s="122"/>
      <c r="R3" s="116" t="s">
        <v>31</v>
      </c>
      <c r="S3" s="116">
        <v>0.5</v>
      </c>
      <c r="T3" s="116">
        <v>1.1962E-2</v>
      </c>
      <c r="U3" s="132">
        <v>8.5279999999999995E-2</v>
      </c>
      <c r="V3" s="132">
        <v>0.14230999999999999</v>
      </c>
      <c r="W3" s="131">
        <v>2.1767300000000001</v>
      </c>
      <c r="X3" s="131">
        <v>1.12452</v>
      </c>
      <c r="Y3" s="124">
        <f>SQRT(9.81/N3)</f>
        <v>11.178915549651588</v>
      </c>
      <c r="Z3" s="126">
        <f>2*PI()/N3</f>
        <v>80.040577161523387</v>
      </c>
      <c r="AA3" s="123">
        <f>Z3/(M3)</f>
        <v>10.005072145190423</v>
      </c>
      <c r="AB3" s="123">
        <f>Y3/B3</f>
        <v>11.705670732619465</v>
      </c>
      <c r="AC3" s="123">
        <f>Y3/C3</f>
        <v>13.182683431192912</v>
      </c>
      <c r="AD3" s="123">
        <f>Y3/D3</f>
        <v>0.76254539902125429</v>
      </c>
      <c r="AE3" s="124">
        <f>N3*O3</f>
        <v>9.4199999999999992E-2</v>
      </c>
      <c r="AF3" s="131">
        <v>0.95960000000000001</v>
      </c>
      <c r="AG3" s="124" t="s">
        <v>301</v>
      </c>
      <c r="AH3" s="116"/>
    </row>
    <row r="4" spans="1:34" ht="30" customHeight="1" x14ac:dyDescent="0.2">
      <c r="A4" s="121" t="s">
        <v>368</v>
      </c>
      <c r="B4">
        <v>0.82299999999999995</v>
      </c>
      <c r="C4">
        <v>0.72399999999999998</v>
      </c>
      <c r="D4" s="116">
        <v>12.77</v>
      </c>
      <c r="E4" s="116"/>
      <c r="F4">
        <v>21</v>
      </c>
      <c r="I4" s="123">
        <f t="shared" ref="I4:I12" si="0">E4/B4</f>
        <v>0</v>
      </c>
      <c r="J4" s="123">
        <f t="shared" ref="J4:J12" si="1">G4*B4/600</f>
        <v>0</v>
      </c>
      <c r="K4" s="126">
        <v>3000</v>
      </c>
      <c r="L4" s="126">
        <f t="shared" ref="L4:L10" si="2">INT(K4/M4)</f>
        <v>375</v>
      </c>
      <c r="M4" s="123">
        <v>8</v>
      </c>
      <c r="N4" s="116">
        <v>7.85E-2</v>
      </c>
      <c r="O4" s="122">
        <v>1.2</v>
      </c>
      <c r="P4" s="117"/>
      <c r="Q4" s="122"/>
      <c r="R4" s="116" t="s">
        <v>31</v>
      </c>
      <c r="S4" s="116">
        <v>0.5</v>
      </c>
      <c r="T4" s="116">
        <v>1.1962E-2</v>
      </c>
      <c r="U4" s="132">
        <v>8.5279999999999995E-2</v>
      </c>
      <c r="V4" s="132">
        <v>0.14230999999999999</v>
      </c>
      <c r="W4" s="131">
        <v>2.1767300000000001</v>
      </c>
      <c r="X4" s="131">
        <v>1.12452</v>
      </c>
      <c r="Y4" s="124">
        <f t="shared" ref="Y4:Y10" si="3">SQRT(9.81/N4)</f>
        <v>11.178915549651588</v>
      </c>
      <c r="Z4" s="126">
        <f t="shared" ref="Z4:Z10" si="4">2*PI()/N4</f>
        <v>80.040577161523387</v>
      </c>
      <c r="AA4" s="123">
        <f t="shared" ref="AA4:AA10" si="5">Z4/(M4)</f>
        <v>10.005072145190423</v>
      </c>
      <c r="AB4" s="123">
        <f t="shared" ref="AB4:AB10" si="6">Y4/B4</f>
        <v>13.583129464947252</v>
      </c>
      <c r="AC4" s="123">
        <f t="shared" ref="AC4:AC10" si="7">Y4/C4</f>
        <v>15.440491090678989</v>
      </c>
      <c r="AD4" s="123">
        <f t="shared" ref="AD4:AD10" si="8">Y4/D4</f>
        <v>0.87540450662894198</v>
      </c>
      <c r="AE4" s="124">
        <f t="shared" ref="AE4:AE10" si="9">N4*O4</f>
        <v>9.4199999999999992E-2</v>
      </c>
      <c r="AF4" s="131">
        <v>0.95960000000000001</v>
      </c>
      <c r="AG4" s="124" t="s">
        <v>301</v>
      </c>
      <c r="AH4" s="116"/>
    </row>
    <row r="5" spans="1:34" s="136" customFormat="1" ht="30" customHeight="1" x14ac:dyDescent="0.2">
      <c r="A5" s="137" t="s">
        <v>369</v>
      </c>
      <c r="B5" s="136">
        <v>0.70799999999999996</v>
      </c>
      <c r="C5" s="136">
        <v>0.59499999999999997</v>
      </c>
      <c r="D5" s="138">
        <v>11.07</v>
      </c>
      <c r="E5" s="138"/>
      <c r="F5" s="136">
        <v>18</v>
      </c>
      <c r="I5" s="139">
        <f t="shared" si="0"/>
        <v>0</v>
      </c>
      <c r="J5" s="139">
        <f t="shared" si="1"/>
        <v>0</v>
      </c>
      <c r="K5" s="140">
        <v>3000</v>
      </c>
      <c r="L5" s="140">
        <f t="shared" si="2"/>
        <v>375</v>
      </c>
      <c r="M5" s="139">
        <v>8</v>
      </c>
      <c r="N5" s="138">
        <v>7.85E-2</v>
      </c>
      <c r="O5" s="141">
        <v>1.2</v>
      </c>
      <c r="P5" s="171"/>
      <c r="Q5" s="141"/>
      <c r="R5" s="116" t="s">
        <v>31</v>
      </c>
      <c r="S5" s="138">
        <v>0.5</v>
      </c>
      <c r="T5" s="138">
        <v>1.1962E-2</v>
      </c>
      <c r="U5" s="142">
        <v>8.5279999999999995E-2</v>
      </c>
      <c r="V5" s="142">
        <v>0.14230999999999999</v>
      </c>
      <c r="W5" s="143">
        <v>2.1767300000000001</v>
      </c>
      <c r="X5" s="143">
        <v>1.12452</v>
      </c>
      <c r="Y5" s="144">
        <f t="shared" si="3"/>
        <v>11.178915549651588</v>
      </c>
      <c r="Z5" s="140">
        <f t="shared" si="4"/>
        <v>80.040577161523387</v>
      </c>
      <c r="AA5" s="139">
        <f t="shared" si="5"/>
        <v>10.005072145190423</v>
      </c>
      <c r="AB5" s="123">
        <f t="shared" si="6"/>
        <v>15.789428742445747</v>
      </c>
      <c r="AC5" s="123">
        <f t="shared" si="7"/>
        <v>18.788093360758971</v>
      </c>
      <c r="AD5" s="123">
        <f t="shared" si="8"/>
        <v>1.0098388030398906</v>
      </c>
      <c r="AE5" s="144">
        <f t="shared" si="9"/>
        <v>9.4199999999999992E-2</v>
      </c>
      <c r="AF5" s="155">
        <v>0.95960000000000001</v>
      </c>
      <c r="AG5" s="144" t="s">
        <v>301</v>
      </c>
      <c r="AH5" s="138"/>
    </row>
    <row r="6" spans="1:34" ht="30" customHeight="1" x14ac:dyDescent="0.2">
      <c r="A6" s="121" t="s">
        <v>370</v>
      </c>
      <c r="B6">
        <v>0.59499999999999997</v>
      </c>
      <c r="C6">
        <v>0.51</v>
      </c>
      <c r="D6" s="116">
        <v>9.35</v>
      </c>
      <c r="E6" s="116"/>
      <c r="F6">
        <v>15</v>
      </c>
      <c r="I6" s="123">
        <f t="shared" si="0"/>
        <v>0</v>
      </c>
      <c r="J6" s="123">
        <f t="shared" si="1"/>
        <v>0</v>
      </c>
      <c r="K6" s="126">
        <v>3000</v>
      </c>
      <c r="L6" s="126">
        <f t="shared" si="2"/>
        <v>375</v>
      </c>
      <c r="M6" s="123">
        <v>8</v>
      </c>
      <c r="N6" s="116">
        <v>7.85E-2</v>
      </c>
      <c r="O6" s="122">
        <v>1.2</v>
      </c>
      <c r="P6" s="117"/>
      <c r="Q6" s="122"/>
      <c r="R6" s="116" t="s">
        <v>31</v>
      </c>
      <c r="S6" s="116">
        <v>0.5</v>
      </c>
      <c r="T6" s="116">
        <v>1.1962E-2</v>
      </c>
      <c r="U6" s="132">
        <v>8.5279999999999995E-2</v>
      </c>
      <c r="V6" s="132">
        <v>0.14230999999999999</v>
      </c>
      <c r="W6" s="131">
        <v>2.1767300000000001</v>
      </c>
      <c r="X6" s="131">
        <v>1.12452</v>
      </c>
      <c r="Y6" s="124">
        <f t="shared" si="3"/>
        <v>11.178915549651588</v>
      </c>
      <c r="Z6" s="126">
        <f t="shared" si="4"/>
        <v>80.040577161523387</v>
      </c>
      <c r="AA6" s="123">
        <f t="shared" si="5"/>
        <v>10.005072145190423</v>
      </c>
      <c r="AB6" s="123">
        <f t="shared" si="6"/>
        <v>18.788093360758971</v>
      </c>
      <c r="AC6" s="123">
        <f t="shared" si="7"/>
        <v>21.919442254218801</v>
      </c>
      <c r="AD6" s="123">
        <f t="shared" si="8"/>
        <v>1.1956059411392073</v>
      </c>
      <c r="AE6" s="124">
        <f t="shared" si="9"/>
        <v>9.4199999999999992E-2</v>
      </c>
      <c r="AF6" s="131">
        <v>0.95960000000000001</v>
      </c>
      <c r="AG6" s="124" t="s">
        <v>301</v>
      </c>
      <c r="AH6" s="116"/>
    </row>
    <row r="7" spans="1:34" ht="30" customHeight="1" x14ac:dyDescent="0.2">
      <c r="A7" s="121" t="s">
        <v>371</v>
      </c>
      <c r="B7">
        <v>0.78300000000000003</v>
      </c>
      <c r="C7">
        <v>0.68</v>
      </c>
      <c r="D7" s="116">
        <v>9.3699999999999992</v>
      </c>
      <c r="E7" s="116"/>
      <c r="F7">
        <v>18</v>
      </c>
      <c r="I7" s="123">
        <f t="shared" si="0"/>
        <v>0</v>
      </c>
      <c r="J7" s="123">
        <f t="shared" si="1"/>
        <v>0</v>
      </c>
      <c r="K7" s="126">
        <v>3000</v>
      </c>
      <c r="L7" s="126">
        <f t="shared" si="2"/>
        <v>375</v>
      </c>
      <c r="M7" s="123">
        <v>8</v>
      </c>
      <c r="N7" s="116">
        <v>7.85E-2</v>
      </c>
      <c r="O7" s="122">
        <v>2</v>
      </c>
      <c r="P7" s="117"/>
      <c r="Q7" s="122"/>
      <c r="R7" s="116" t="s">
        <v>31</v>
      </c>
      <c r="S7" s="116">
        <v>0.5</v>
      </c>
      <c r="T7" s="116">
        <v>3.3229000000000002E-2</v>
      </c>
      <c r="U7" s="132">
        <v>0.14213999999999999</v>
      </c>
      <c r="V7" s="132">
        <v>0.23719000000000001</v>
      </c>
      <c r="W7" s="131">
        <v>2.1767300000000001</v>
      </c>
      <c r="X7" s="131">
        <v>1.12452</v>
      </c>
      <c r="Y7" s="124">
        <f t="shared" si="3"/>
        <v>11.178915549651588</v>
      </c>
      <c r="Z7" s="126">
        <f t="shared" si="4"/>
        <v>80.040577161523387</v>
      </c>
      <c r="AA7" s="123">
        <f t="shared" si="5"/>
        <v>10.005072145190423</v>
      </c>
      <c r="AB7" s="123">
        <f t="shared" si="6"/>
        <v>14.27703135332259</v>
      </c>
      <c r="AC7" s="123">
        <f t="shared" si="7"/>
        <v>16.439581690664099</v>
      </c>
      <c r="AD7" s="123">
        <f t="shared" si="8"/>
        <v>1.1930539540716745</v>
      </c>
      <c r="AE7" s="124">
        <f t="shared" si="9"/>
        <v>0.157</v>
      </c>
      <c r="AF7" s="156">
        <v>0.95960000000000001</v>
      </c>
      <c r="AG7" s="124" t="s">
        <v>301</v>
      </c>
      <c r="AH7" s="116"/>
    </row>
    <row r="8" spans="1:34" ht="30" customHeight="1" x14ac:dyDescent="0.2">
      <c r="A8" s="121" t="s">
        <v>372</v>
      </c>
      <c r="B8">
        <v>0.48599999999999999</v>
      </c>
      <c r="C8">
        <v>0.44400000000000001</v>
      </c>
      <c r="D8" s="116">
        <v>13.1</v>
      </c>
      <c r="E8" s="116"/>
      <c r="F8">
        <v>18</v>
      </c>
      <c r="I8" s="123">
        <f t="shared" si="0"/>
        <v>0</v>
      </c>
      <c r="J8" s="123">
        <f t="shared" si="1"/>
        <v>0</v>
      </c>
      <c r="K8" s="126">
        <v>3000</v>
      </c>
      <c r="L8" s="126">
        <f t="shared" si="2"/>
        <v>375</v>
      </c>
      <c r="M8" s="123">
        <v>8</v>
      </c>
      <c r="N8" s="116">
        <v>7.85E-2</v>
      </c>
      <c r="O8" s="122">
        <v>0.4</v>
      </c>
      <c r="P8" s="117"/>
      <c r="Q8" s="122"/>
      <c r="R8" s="116" t="s">
        <v>31</v>
      </c>
      <c r="S8" s="116">
        <v>0.5</v>
      </c>
      <c r="T8" s="116">
        <v>1.3290000000000001E-3</v>
      </c>
      <c r="U8" s="132">
        <v>2.843E-2</v>
      </c>
      <c r="V8" s="132">
        <v>4.7440000000000003E-2</v>
      </c>
      <c r="W8" s="131">
        <v>2.1767300000000001</v>
      </c>
      <c r="X8" s="131">
        <v>1.12452</v>
      </c>
      <c r="Y8" s="124">
        <f t="shared" si="3"/>
        <v>11.178915549651588</v>
      </c>
      <c r="Z8" s="126">
        <f t="shared" si="4"/>
        <v>80.040577161523387</v>
      </c>
      <c r="AA8" s="123">
        <f t="shared" si="5"/>
        <v>10.005072145190423</v>
      </c>
      <c r="AB8" s="123">
        <f t="shared" si="6"/>
        <v>23.00188384701973</v>
      </c>
      <c r="AC8" s="123">
        <f t="shared" si="7"/>
        <v>25.177737724440515</v>
      </c>
      <c r="AD8" s="123">
        <f t="shared" si="8"/>
        <v>0.85335233203447236</v>
      </c>
      <c r="AE8" s="124">
        <f t="shared" si="9"/>
        <v>3.1400000000000004E-2</v>
      </c>
      <c r="AF8" s="156">
        <v>0.95960000000000001</v>
      </c>
      <c r="AG8" s="124" t="s">
        <v>301</v>
      </c>
      <c r="AH8" s="116"/>
    </row>
    <row r="9" spans="1:34" ht="30" customHeight="1" x14ac:dyDescent="0.2">
      <c r="A9" s="121" t="s">
        <v>373</v>
      </c>
      <c r="B9" s="116">
        <v>0.59</v>
      </c>
      <c r="C9" s="116">
        <v>0.56000000000000005</v>
      </c>
      <c r="D9" s="116">
        <v>11.8</v>
      </c>
      <c r="E9" s="116"/>
      <c r="F9" s="116">
        <v>18</v>
      </c>
      <c r="G9" s="116"/>
      <c r="H9" s="127"/>
      <c r="I9" s="123">
        <f t="shared" si="0"/>
        <v>0</v>
      </c>
      <c r="J9" s="123">
        <f t="shared" si="1"/>
        <v>0</v>
      </c>
      <c r="K9" s="126">
        <v>3000</v>
      </c>
      <c r="L9" s="126">
        <f t="shared" si="2"/>
        <v>375</v>
      </c>
      <c r="M9" s="123">
        <v>8</v>
      </c>
      <c r="N9" s="116">
        <v>3.9300000000000002E-2</v>
      </c>
      <c r="O9" s="122">
        <v>1.2</v>
      </c>
      <c r="P9" s="117"/>
      <c r="Q9" s="122"/>
      <c r="R9" s="116" t="s">
        <v>31</v>
      </c>
      <c r="S9" s="116">
        <v>0.5</v>
      </c>
      <c r="T9" s="116">
        <v>4.2370000000000003E-3</v>
      </c>
      <c r="U9" s="132">
        <v>5.0860000000000002E-2</v>
      </c>
      <c r="V9" s="132">
        <v>8.5379999999999998E-2</v>
      </c>
      <c r="W9" s="131">
        <v>2.1724299999999999</v>
      </c>
      <c r="X9" s="131">
        <v>1.1154500000000001</v>
      </c>
      <c r="Y9" s="124">
        <f t="shared" si="3"/>
        <v>15.799313928480787</v>
      </c>
      <c r="Z9" s="126">
        <f t="shared" si="4"/>
        <v>159.87748873230498</v>
      </c>
      <c r="AA9" s="123">
        <f t="shared" si="5"/>
        <v>19.984686091538123</v>
      </c>
      <c r="AB9" s="123">
        <f t="shared" si="6"/>
        <v>26.778498183865743</v>
      </c>
      <c r="AC9" s="123">
        <f t="shared" si="7"/>
        <v>28.21306058657283</v>
      </c>
      <c r="AD9" s="123">
        <f t="shared" si="8"/>
        <v>1.3389249091932869</v>
      </c>
      <c r="AE9" s="124">
        <f t="shared" si="9"/>
        <v>4.7160000000000001E-2</v>
      </c>
      <c r="AF9" s="131">
        <v>0.98560000000000003</v>
      </c>
      <c r="AG9" s="124" t="s">
        <v>301</v>
      </c>
      <c r="AH9" s="116"/>
    </row>
    <row r="10" spans="1:34" ht="30" customHeight="1" x14ac:dyDescent="0.2">
      <c r="A10" s="121" t="s">
        <v>374</v>
      </c>
      <c r="B10" s="116">
        <v>0.71699999999999997</v>
      </c>
      <c r="C10" s="116">
        <v>0.59399999999999997</v>
      </c>
      <c r="D10" s="116">
        <v>9.16</v>
      </c>
      <c r="E10" s="116"/>
      <c r="F10" s="116">
        <v>18</v>
      </c>
      <c r="G10" s="116"/>
      <c r="H10" s="127"/>
      <c r="I10" s="123">
        <f t="shared" si="0"/>
        <v>0</v>
      </c>
      <c r="J10" s="123">
        <f t="shared" si="1"/>
        <v>0</v>
      </c>
      <c r="K10" s="126">
        <v>3000</v>
      </c>
      <c r="L10" s="126">
        <f t="shared" si="2"/>
        <v>375</v>
      </c>
      <c r="M10" s="123">
        <v>8</v>
      </c>
      <c r="N10" s="116">
        <v>0.157</v>
      </c>
      <c r="O10" s="122">
        <v>1.2</v>
      </c>
      <c r="P10" s="117"/>
      <c r="Q10" s="122"/>
      <c r="R10" s="116" t="s">
        <v>31</v>
      </c>
      <c r="S10" s="116">
        <v>0.5</v>
      </c>
      <c r="T10" s="116">
        <v>3.3834999999999997E-2</v>
      </c>
      <c r="U10" s="132">
        <v>0.14229</v>
      </c>
      <c r="V10" s="132">
        <v>0.23197000000000001</v>
      </c>
      <c r="W10" s="131">
        <v>2.1940200000000001</v>
      </c>
      <c r="X10" s="131">
        <v>1.16127</v>
      </c>
      <c r="Y10" s="124">
        <f t="shared" si="3"/>
        <v>7.9046869914703786</v>
      </c>
      <c r="Z10" s="126">
        <f t="shared" si="4"/>
        <v>40.020288580761694</v>
      </c>
      <c r="AA10" s="123">
        <f t="shared" si="5"/>
        <v>5.0025360725952117</v>
      </c>
      <c r="AB10" s="123">
        <f t="shared" si="6"/>
        <v>11.024668049470542</v>
      </c>
      <c r="AC10" s="123">
        <f t="shared" si="7"/>
        <v>13.307553857694241</v>
      </c>
      <c r="AD10" s="123">
        <f t="shared" si="8"/>
        <v>0.86295709513868757</v>
      </c>
      <c r="AE10" s="124">
        <f t="shared" si="9"/>
        <v>0.18839999999999998</v>
      </c>
      <c r="AF10" s="124">
        <v>0.88749999999999996</v>
      </c>
      <c r="AG10" s="124" t="s">
        <v>301</v>
      </c>
      <c r="AH10" s="116"/>
    </row>
    <row r="11" spans="1:34" s="168" customFormat="1" ht="9" customHeight="1" x14ac:dyDescent="0.2">
      <c r="A11" s="160"/>
      <c r="B11" s="161"/>
      <c r="C11" s="161"/>
      <c r="D11" s="161"/>
      <c r="E11" s="161"/>
      <c r="F11" s="161"/>
      <c r="G11" s="161"/>
      <c r="H11" s="162"/>
      <c r="I11" s="163"/>
      <c r="J11" s="163"/>
      <c r="K11" s="164"/>
      <c r="L11" s="164"/>
      <c r="M11" s="163"/>
      <c r="N11" s="161"/>
      <c r="O11" s="165"/>
      <c r="P11" s="172"/>
      <c r="Q11" s="165"/>
      <c r="R11" s="161"/>
      <c r="S11" s="161"/>
      <c r="T11" s="161"/>
      <c r="U11" s="166"/>
      <c r="V11" s="166"/>
      <c r="W11" s="155"/>
      <c r="X11" s="155"/>
      <c r="Y11" s="167"/>
      <c r="Z11" s="164"/>
      <c r="AA11" s="163"/>
      <c r="AB11" s="163"/>
      <c r="AC11" s="163"/>
      <c r="AD11" s="163"/>
      <c r="AE11" s="167"/>
      <c r="AF11" s="167"/>
      <c r="AG11" s="167"/>
      <c r="AH11" s="161"/>
    </row>
    <row r="12" spans="1:34" ht="30" customHeight="1" x14ac:dyDescent="0.2">
      <c r="A12" s="121" t="s">
        <v>414</v>
      </c>
      <c r="B12">
        <v>0.5</v>
      </c>
      <c r="I12" s="123">
        <f t="shared" si="0"/>
        <v>0</v>
      </c>
      <c r="J12" s="123">
        <f t="shared" si="1"/>
        <v>0</v>
      </c>
      <c r="K12" s="126">
        <v>3000</v>
      </c>
      <c r="L12" s="126">
        <f t="shared" ref="L12" si="10">INT(K12/M12)</f>
        <v>375</v>
      </c>
      <c r="M12" s="123">
        <v>8</v>
      </c>
      <c r="N12" s="116">
        <v>7.85E-2</v>
      </c>
      <c r="O12" s="122">
        <v>0.4</v>
      </c>
      <c r="P12" s="117"/>
      <c r="Q12" s="122"/>
      <c r="R12" s="116" t="s">
        <v>428</v>
      </c>
      <c r="S12" s="116">
        <v>0.5</v>
      </c>
      <c r="T12" s="116">
        <v>1.3290000000000001E-3</v>
      </c>
      <c r="U12" s="132">
        <v>2.843E-2</v>
      </c>
      <c r="V12" s="132">
        <v>4.7440000000000003E-2</v>
      </c>
      <c r="W12" s="131">
        <v>2.1767300000000001</v>
      </c>
      <c r="X12" s="131">
        <v>1.12452</v>
      </c>
      <c r="Y12" s="124">
        <f t="shared" ref="Y12" si="11">SQRT(9.81/N12)</f>
        <v>11.178915549651588</v>
      </c>
      <c r="Z12" s="126">
        <f t="shared" ref="Z12" si="12">2*PI()/N12</f>
        <v>80.040577161523387</v>
      </c>
      <c r="AA12" s="123">
        <f t="shared" ref="AA12" si="13">Z12/(M12)</f>
        <v>10.005072145190423</v>
      </c>
      <c r="AB12" s="123">
        <f t="shared" ref="AB12" si="14">Y12/B12</f>
        <v>22.357831099303176</v>
      </c>
      <c r="AC12" s="123" t="e">
        <f t="shared" ref="AC12" si="15">Y12/C12</f>
        <v>#DIV/0!</v>
      </c>
      <c r="AD12" s="123" t="e">
        <f t="shared" ref="AD12" si="16">Y12/D12</f>
        <v>#DIV/0!</v>
      </c>
      <c r="AE12" s="124">
        <f t="shared" ref="AE12" si="17">N12*O12</f>
        <v>3.1400000000000004E-2</v>
      </c>
      <c r="AF12" s="156">
        <v>0.95960000000000001</v>
      </c>
      <c r="AG12" s="124" t="s">
        <v>301</v>
      </c>
      <c r="AH12" t="s">
        <v>417</v>
      </c>
    </row>
    <row r="13" spans="1:34" ht="30" customHeight="1" x14ac:dyDescent="0.2">
      <c r="A13" s="121" t="s">
        <v>415</v>
      </c>
      <c r="B13">
        <v>0.5</v>
      </c>
      <c r="D13" s="116"/>
      <c r="E13" s="116"/>
      <c r="I13" s="123">
        <f t="shared" ref="I13:I33" si="18">E13/B13</f>
        <v>0</v>
      </c>
      <c r="J13" s="123">
        <f t="shared" ref="J13:J33" si="19">G13*B13/600</f>
        <v>0</v>
      </c>
      <c r="K13" s="126">
        <v>3000</v>
      </c>
      <c r="L13" s="126">
        <f t="shared" ref="L13:L25" si="20">INT(K13/M13)</f>
        <v>375</v>
      </c>
      <c r="M13" s="123">
        <v>8</v>
      </c>
      <c r="N13" s="116">
        <v>7.85E-2</v>
      </c>
      <c r="O13" s="122">
        <v>1.2</v>
      </c>
      <c r="P13" s="117"/>
      <c r="Q13" s="122"/>
      <c r="R13" s="116" t="s">
        <v>31</v>
      </c>
      <c r="S13" s="116">
        <v>0.5</v>
      </c>
      <c r="T13" s="116">
        <v>1.1962E-2</v>
      </c>
      <c r="U13" s="132">
        <v>8.5279999999999995E-2</v>
      </c>
      <c r="V13" s="132">
        <v>0.14230999999999999</v>
      </c>
      <c r="W13" s="131">
        <v>2.1767300000000001</v>
      </c>
      <c r="X13" s="131">
        <v>1.12452</v>
      </c>
      <c r="Y13" s="124">
        <f t="shared" ref="Y13:Y25" si="21">SQRT(9.81/N13)</f>
        <v>11.178915549651588</v>
      </c>
      <c r="Z13" s="126">
        <f t="shared" ref="Z13:Z25" si="22">2*PI()/N13</f>
        <v>80.040577161523387</v>
      </c>
      <c r="AA13" s="123">
        <f t="shared" ref="AA13:AA25" si="23">Z13/(M13)</f>
        <v>10.005072145190423</v>
      </c>
      <c r="AB13" s="123">
        <f t="shared" ref="AB13:AB25" si="24">Y13/B13</f>
        <v>22.357831099303176</v>
      </c>
      <c r="AC13" s="123" t="e">
        <f t="shared" ref="AC13:AC25" si="25">Y13/C13</f>
        <v>#DIV/0!</v>
      </c>
      <c r="AD13" s="123" t="e">
        <f t="shared" ref="AD13:AD25" si="26">Y13/D13</f>
        <v>#DIV/0!</v>
      </c>
      <c r="AE13" s="124">
        <f t="shared" ref="AE13:AE25" si="27">N13*O13</f>
        <v>9.4199999999999992E-2</v>
      </c>
      <c r="AF13" s="131">
        <v>0.95960000000000001</v>
      </c>
      <c r="AG13" s="124" t="s">
        <v>301</v>
      </c>
      <c r="AH13" t="s">
        <v>417</v>
      </c>
    </row>
    <row r="14" spans="1:34" ht="30" customHeight="1" x14ac:dyDescent="0.2">
      <c r="A14" s="121" t="s">
        <v>416</v>
      </c>
      <c r="B14">
        <v>0.5</v>
      </c>
      <c r="I14" s="123">
        <f t="shared" si="18"/>
        <v>0</v>
      </c>
      <c r="J14" s="123">
        <f t="shared" si="19"/>
        <v>0</v>
      </c>
      <c r="K14" s="126">
        <v>3000</v>
      </c>
      <c r="L14" s="126">
        <f t="shared" si="20"/>
        <v>375</v>
      </c>
      <c r="M14" s="123">
        <v>8</v>
      </c>
      <c r="N14" s="116">
        <v>7.85E-2</v>
      </c>
      <c r="O14" s="122">
        <v>2</v>
      </c>
      <c r="P14" s="117"/>
      <c r="Q14" s="122"/>
      <c r="R14" s="116" t="s">
        <v>31</v>
      </c>
      <c r="S14" s="116">
        <v>0.5</v>
      </c>
      <c r="T14" s="116">
        <v>3.3229000000000002E-2</v>
      </c>
      <c r="U14" s="132">
        <v>0.14213999999999999</v>
      </c>
      <c r="V14" s="132">
        <v>0.23719000000000001</v>
      </c>
      <c r="W14" s="131">
        <v>2.1767300000000001</v>
      </c>
      <c r="X14" s="131">
        <v>1.12452</v>
      </c>
      <c r="Y14" s="124">
        <f t="shared" si="21"/>
        <v>11.178915549651588</v>
      </c>
      <c r="Z14" s="126">
        <f t="shared" si="22"/>
        <v>80.040577161523387</v>
      </c>
      <c r="AA14" s="123">
        <f t="shared" si="23"/>
        <v>10.005072145190423</v>
      </c>
      <c r="AB14" s="123">
        <f t="shared" si="24"/>
        <v>22.357831099303176</v>
      </c>
      <c r="AC14" s="123" t="e">
        <f t="shared" si="25"/>
        <v>#DIV/0!</v>
      </c>
      <c r="AD14" s="123" t="e">
        <f t="shared" si="26"/>
        <v>#DIV/0!</v>
      </c>
      <c r="AE14" s="124">
        <f t="shared" si="27"/>
        <v>0.157</v>
      </c>
      <c r="AF14" s="156">
        <v>0.95960000000000001</v>
      </c>
      <c r="AG14" s="124" t="s">
        <v>301</v>
      </c>
      <c r="AH14" t="s">
        <v>417</v>
      </c>
    </row>
    <row r="15" spans="1:34" s="168" customFormat="1" ht="8" customHeight="1" x14ac:dyDescent="0.2">
      <c r="A15" s="160"/>
      <c r="I15" s="163"/>
      <c r="J15" s="163"/>
      <c r="K15" s="164"/>
      <c r="L15" s="164"/>
      <c r="M15" s="163"/>
      <c r="N15" s="161"/>
      <c r="O15" s="165"/>
      <c r="P15" s="172"/>
      <c r="Q15" s="165"/>
      <c r="R15" s="161"/>
      <c r="S15" s="161"/>
      <c r="T15" s="161"/>
      <c r="U15" s="166"/>
      <c r="V15" s="166"/>
      <c r="W15" s="155"/>
      <c r="X15" s="155"/>
      <c r="Y15" s="167"/>
      <c r="Z15" s="164"/>
      <c r="AA15" s="163"/>
      <c r="AB15" s="163"/>
      <c r="AC15" s="163"/>
      <c r="AD15" s="163"/>
      <c r="AE15" s="167"/>
      <c r="AF15" s="169"/>
      <c r="AG15" s="167"/>
    </row>
    <row r="16" spans="1:34" ht="30" customHeight="1" x14ac:dyDescent="0.2">
      <c r="A16" s="121" t="s">
        <v>421</v>
      </c>
      <c r="B16">
        <v>0.96899999999999997</v>
      </c>
      <c r="D16" s="116"/>
      <c r="E16" s="116"/>
      <c r="F16">
        <v>24</v>
      </c>
      <c r="G16" s="173">
        <f>15000/1000*B16</f>
        <v>14.535</v>
      </c>
      <c r="I16" s="123">
        <f>E16/B16</f>
        <v>0</v>
      </c>
      <c r="J16" s="123">
        <f>G16*B16/600</f>
        <v>2.3474024999999999E-2</v>
      </c>
      <c r="K16" s="126">
        <v>3000</v>
      </c>
      <c r="L16" s="126">
        <f>INT(K16/M16)</f>
        <v>375</v>
      </c>
      <c r="M16" s="123">
        <v>8</v>
      </c>
      <c r="N16" s="116">
        <v>7.85E-2</v>
      </c>
      <c r="O16" s="122">
        <v>1.2</v>
      </c>
      <c r="P16" s="117"/>
      <c r="Q16" s="122"/>
      <c r="R16" s="116" t="s">
        <v>31</v>
      </c>
      <c r="S16" s="116">
        <v>0.5</v>
      </c>
      <c r="T16" s="116">
        <v>1.1962E-2</v>
      </c>
      <c r="U16" s="132">
        <v>8.5279999999999995E-2</v>
      </c>
      <c r="V16" s="132">
        <v>0.14230999999999999</v>
      </c>
      <c r="W16" s="131">
        <v>2.1767300000000001</v>
      </c>
      <c r="X16" s="131">
        <v>1.12452</v>
      </c>
      <c r="Y16" s="124">
        <f>SQRT(9.81/N16)</f>
        <v>11.178915549651588</v>
      </c>
      <c r="Z16" s="126">
        <f>2*PI()/N16</f>
        <v>80.040577161523387</v>
      </c>
      <c r="AA16" s="123">
        <f>Z16/(M16)</f>
        <v>10.005072145190423</v>
      </c>
      <c r="AB16" s="123">
        <f>Y16/B16</f>
        <v>11.536548554852001</v>
      </c>
      <c r="AC16" s="123" t="e">
        <f>Y16/C16</f>
        <v>#DIV/0!</v>
      </c>
      <c r="AD16" s="123" t="e">
        <f>Y16/D16</f>
        <v>#DIV/0!</v>
      </c>
      <c r="AE16" s="124">
        <f>N16*O16</f>
        <v>9.4199999999999992E-2</v>
      </c>
      <c r="AF16" s="131">
        <v>0.95960000000000001</v>
      </c>
      <c r="AG16" s="124" t="s">
        <v>301</v>
      </c>
      <c r="AH16" s="116"/>
    </row>
    <row r="17" spans="1:34" ht="30" customHeight="1" x14ac:dyDescent="0.2">
      <c r="A17" s="121" t="s">
        <v>422</v>
      </c>
      <c r="B17">
        <v>0.82699999999999996</v>
      </c>
      <c r="D17" s="116"/>
      <c r="E17" s="116"/>
      <c r="F17">
        <v>21</v>
      </c>
      <c r="G17" s="173">
        <f t="shared" ref="G17:G31" si="28">15000/1000*B17</f>
        <v>12.404999999999999</v>
      </c>
      <c r="I17" s="123">
        <f t="shared" ref="I17:I21" si="29">E17/B17</f>
        <v>0</v>
      </c>
      <c r="J17" s="123">
        <f t="shared" ref="J17:J21" si="30">G17*B17/600</f>
        <v>1.7098224999999998E-2</v>
      </c>
      <c r="K17" s="126">
        <v>3000</v>
      </c>
      <c r="L17" s="126">
        <f t="shared" ref="L17:L21" si="31">INT(K17/M17)</f>
        <v>375</v>
      </c>
      <c r="M17" s="123">
        <v>8</v>
      </c>
      <c r="N17" s="116">
        <v>7.85E-2</v>
      </c>
      <c r="O17" s="122">
        <v>1.2</v>
      </c>
      <c r="P17" s="117"/>
      <c r="Q17" s="122"/>
      <c r="R17" s="116" t="s">
        <v>31</v>
      </c>
      <c r="S17" s="116">
        <v>0.5</v>
      </c>
      <c r="T17" s="116">
        <v>1.1962E-2</v>
      </c>
      <c r="U17" s="132">
        <v>8.5279999999999995E-2</v>
      </c>
      <c r="V17" s="132">
        <v>0.14230999999999999</v>
      </c>
      <c r="W17" s="131">
        <v>2.1767300000000001</v>
      </c>
      <c r="X17" s="131">
        <v>1.12452</v>
      </c>
      <c r="Y17" s="124">
        <f t="shared" ref="Y17:Y21" si="32">SQRT(9.81/N17)</f>
        <v>11.178915549651588</v>
      </c>
      <c r="Z17" s="126">
        <f t="shared" ref="Z17:Z21" si="33">2*PI()/N17</f>
        <v>80.040577161523387</v>
      </c>
      <c r="AA17" s="123">
        <f t="shared" ref="AA17:AA21" si="34">Z17/(M17)</f>
        <v>10.005072145190423</v>
      </c>
      <c r="AB17" s="123">
        <f t="shared" ref="AB17:AB21" si="35">Y17/B17</f>
        <v>13.517431136217157</v>
      </c>
      <c r="AC17" s="123" t="e">
        <f t="shared" ref="AC17:AC21" si="36">Y17/C17</f>
        <v>#DIV/0!</v>
      </c>
      <c r="AD17" s="123" t="e">
        <f t="shared" ref="AD17:AD21" si="37">Y17/D17</f>
        <v>#DIV/0!</v>
      </c>
      <c r="AE17" s="124">
        <f t="shared" ref="AE17:AE21" si="38">N17*O17</f>
        <v>9.4199999999999992E-2</v>
      </c>
      <c r="AF17" s="131">
        <v>0.95960000000000001</v>
      </c>
      <c r="AG17" s="124" t="s">
        <v>301</v>
      </c>
      <c r="AH17" s="116"/>
    </row>
    <row r="18" spans="1:34" s="136" customFormat="1" ht="30" customHeight="1" x14ac:dyDescent="0.2">
      <c r="A18" s="137" t="s">
        <v>423</v>
      </c>
      <c r="B18" s="136">
        <v>0.67400000000000004</v>
      </c>
      <c r="D18" s="138"/>
      <c r="E18" s="138"/>
      <c r="F18" s="136">
        <v>18</v>
      </c>
      <c r="G18" s="173">
        <f t="shared" si="28"/>
        <v>10.110000000000001</v>
      </c>
      <c r="I18" s="139">
        <f t="shared" si="29"/>
        <v>0</v>
      </c>
      <c r="J18" s="139">
        <f t="shared" si="30"/>
        <v>1.1356900000000001E-2</v>
      </c>
      <c r="K18" s="140">
        <v>3000</v>
      </c>
      <c r="L18" s="140">
        <f t="shared" si="31"/>
        <v>375</v>
      </c>
      <c r="M18" s="139">
        <v>8</v>
      </c>
      <c r="N18" s="138">
        <v>7.85E-2</v>
      </c>
      <c r="O18" s="141">
        <v>1.2</v>
      </c>
      <c r="P18" s="171"/>
      <c r="Q18" s="141"/>
      <c r="R18" s="116" t="s">
        <v>31</v>
      </c>
      <c r="S18" s="138">
        <v>0.5</v>
      </c>
      <c r="T18" s="138">
        <v>1.1962E-2</v>
      </c>
      <c r="U18" s="142">
        <v>8.5279999999999995E-2</v>
      </c>
      <c r="V18" s="142">
        <v>0.14230999999999999</v>
      </c>
      <c r="W18" s="143">
        <v>2.1767300000000001</v>
      </c>
      <c r="X18" s="143">
        <v>1.12452</v>
      </c>
      <c r="Y18" s="144">
        <f t="shared" si="32"/>
        <v>11.178915549651588</v>
      </c>
      <c r="Z18" s="140">
        <f t="shared" si="33"/>
        <v>80.040577161523387</v>
      </c>
      <c r="AA18" s="139">
        <f t="shared" si="34"/>
        <v>10.005072145190423</v>
      </c>
      <c r="AB18" s="123">
        <f t="shared" si="35"/>
        <v>16.58592811521007</v>
      </c>
      <c r="AC18" s="123" t="e">
        <f t="shared" si="36"/>
        <v>#DIV/0!</v>
      </c>
      <c r="AD18" s="123" t="e">
        <f t="shared" si="37"/>
        <v>#DIV/0!</v>
      </c>
      <c r="AE18" s="144">
        <f t="shared" si="38"/>
        <v>9.4199999999999992E-2</v>
      </c>
      <c r="AF18" s="155">
        <v>0.95960000000000001</v>
      </c>
      <c r="AG18" s="144" t="s">
        <v>301</v>
      </c>
      <c r="AH18" s="138"/>
    </row>
    <row r="19" spans="1:34" ht="30" customHeight="1" x14ac:dyDescent="0.2">
      <c r="A19" s="121" t="s">
        <v>424</v>
      </c>
      <c r="B19">
        <v>0.58399999999999996</v>
      </c>
      <c r="D19" s="116"/>
      <c r="E19" s="116"/>
      <c r="F19">
        <v>15</v>
      </c>
      <c r="G19" s="173">
        <f t="shared" si="28"/>
        <v>8.76</v>
      </c>
      <c r="I19" s="123">
        <f t="shared" si="29"/>
        <v>0</v>
      </c>
      <c r="J19" s="123">
        <f t="shared" si="30"/>
        <v>8.5264E-3</v>
      </c>
      <c r="K19" s="126">
        <v>3000</v>
      </c>
      <c r="L19" s="126">
        <f t="shared" si="31"/>
        <v>375</v>
      </c>
      <c r="M19" s="123">
        <v>8</v>
      </c>
      <c r="N19" s="116">
        <v>7.85E-2</v>
      </c>
      <c r="O19" s="122">
        <v>1.2</v>
      </c>
      <c r="P19" s="117"/>
      <c r="Q19" s="122"/>
      <c r="R19" s="116" t="s">
        <v>31</v>
      </c>
      <c r="S19" s="116">
        <v>0.5</v>
      </c>
      <c r="T19" s="116">
        <v>1.1962E-2</v>
      </c>
      <c r="U19" s="132">
        <v>8.5279999999999995E-2</v>
      </c>
      <c r="V19" s="132">
        <v>0.14230999999999999</v>
      </c>
      <c r="W19" s="131">
        <v>2.1767300000000001</v>
      </c>
      <c r="X19" s="131">
        <v>1.12452</v>
      </c>
      <c r="Y19" s="124">
        <f t="shared" si="32"/>
        <v>11.178915549651588</v>
      </c>
      <c r="Z19" s="126">
        <f t="shared" si="33"/>
        <v>80.040577161523387</v>
      </c>
      <c r="AA19" s="123">
        <f t="shared" si="34"/>
        <v>10.005072145190423</v>
      </c>
      <c r="AB19" s="123">
        <f t="shared" si="35"/>
        <v>19.141978680910256</v>
      </c>
      <c r="AC19" s="123" t="e">
        <f t="shared" si="36"/>
        <v>#DIV/0!</v>
      </c>
      <c r="AD19" s="123" t="e">
        <f t="shared" si="37"/>
        <v>#DIV/0!</v>
      </c>
      <c r="AE19" s="124">
        <f t="shared" si="38"/>
        <v>9.4199999999999992E-2</v>
      </c>
      <c r="AF19" s="131">
        <v>0.95960000000000001</v>
      </c>
      <c r="AG19" s="124" t="s">
        <v>301</v>
      </c>
      <c r="AH19" s="116"/>
    </row>
    <row r="20" spans="1:34" ht="30" customHeight="1" x14ac:dyDescent="0.2">
      <c r="A20" s="121" t="s">
        <v>425</v>
      </c>
      <c r="B20">
        <v>0.80500000000000005</v>
      </c>
      <c r="D20" s="116"/>
      <c r="E20" s="116"/>
      <c r="F20">
        <v>18</v>
      </c>
      <c r="G20" s="173">
        <f t="shared" si="28"/>
        <v>12.075000000000001</v>
      </c>
      <c r="I20" s="123">
        <f t="shared" si="29"/>
        <v>0</v>
      </c>
      <c r="J20" s="123">
        <f t="shared" si="30"/>
        <v>1.6200625E-2</v>
      </c>
      <c r="K20" s="126">
        <v>3000</v>
      </c>
      <c r="L20" s="126">
        <f t="shared" si="31"/>
        <v>375</v>
      </c>
      <c r="M20" s="123">
        <v>8</v>
      </c>
      <c r="N20" s="116">
        <v>7.85E-2</v>
      </c>
      <c r="O20" s="122">
        <v>2</v>
      </c>
      <c r="P20" s="117"/>
      <c r="Q20" s="122"/>
      <c r="R20" s="116" t="s">
        <v>31</v>
      </c>
      <c r="S20" s="116">
        <v>0.5</v>
      </c>
      <c r="T20" s="116">
        <v>3.3229000000000002E-2</v>
      </c>
      <c r="U20" s="132">
        <v>0.14213999999999999</v>
      </c>
      <c r="V20" s="132">
        <v>0.23719000000000001</v>
      </c>
      <c r="W20" s="131">
        <v>2.1767300000000001</v>
      </c>
      <c r="X20" s="131">
        <v>1.12452</v>
      </c>
      <c r="Y20" s="124">
        <f t="shared" si="32"/>
        <v>11.178915549651588</v>
      </c>
      <c r="Z20" s="126">
        <f t="shared" si="33"/>
        <v>80.040577161523387</v>
      </c>
      <c r="AA20" s="123">
        <f t="shared" si="34"/>
        <v>10.005072145190423</v>
      </c>
      <c r="AB20" s="123">
        <f t="shared" si="35"/>
        <v>13.886851614474022</v>
      </c>
      <c r="AC20" s="123" t="e">
        <f t="shared" si="36"/>
        <v>#DIV/0!</v>
      </c>
      <c r="AD20" s="123" t="e">
        <f t="shared" si="37"/>
        <v>#DIV/0!</v>
      </c>
      <c r="AE20" s="124">
        <f t="shared" si="38"/>
        <v>0.157</v>
      </c>
      <c r="AF20" s="156">
        <v>0.95960000000000001</v>
      </c>
      <c r="AG20" s="124" t="s">
        <v>301</v>
      </c>
      <c r="AH20" s="116"/>
    </row>
    <row r="21" spans="1:34" ht="30" customHeight="1" x14ac:dyDescent="0.2">
      <c r="A21" s="121" t="s">
        <v>426</v>
      </c>
      <c r="B21">
        <v>0.503</v>
      </c>
      <c r="D21" s="116"/>
      <c r="E21" s="116"/>
      <c r="F21">
        <v>18</v>
      </c>
      <c r="G21" s="173">
        <f t="shared" si="28"/>
        <v>7.5449999999999999</v>
      </c>
      <c r="I21" s="123">
        <f t="shared" si="29"/>
        <v>0</v>
      </c>
      <c r="J21" s="123">
        <f t="shared" si="30"/>
        <v>6.3252250000000003E-3</v>
      </c>
      <c r="K21" s="126">
        <v>3000</v>
      </c>
      <c r="L21" s="126">
        <f t="shared" si="31"/>
        <v>375</v>
      </c>
      <c r="M21" s="123">
        <v>8</v>
      </c>
      <c r="N21" s="116">
        <v>7.85E-2</v>
      </c>
      <c r="O21" s="122">
        <v>0.4</v>
      </c>
      <c r="P21" s="117"/>
      <c r="Q21" s="122"/>
      <c r="R21" s="116" t="s">
        <v>31</v>
      </c>
      <c r="S21" s="116">
        <v>0.5</v>
      </c>
      <c r="T21" s="116">
        <v>1.3290000000000001E-3</v>
      </c>
      <c r="U21" s="132">
        <v>2.843E-2</v>
      </c>
      <c r="V21" s="132">
        <v>4.7440000000000003E-2</v>
      </c>
      <c r="W21" s="131">
        <v>2.1767300000000001</v>
      </c>
      <c r="X21" s="131">
        <v>1.12452</v>
      </c>
      <c r="Y21" s="124">
        <f t="shared" si="32"/>
        <v>11.178915549651588</v>
      </c>
      <c r="Z21" s="126">
        <f t="shared" si="33"/>
        <v>80.040577161523387</v>
      </c>
      <c r="AA21" s="123">
        <f t="shared" si="34"/>
        <v>10.005072145190423</v>
      </c>
      <c r="AB21" s="123">
        <f t="shared" si="35"/>
        <v>22.224484194138345</v>
      </c>
      <c r="AC21" s="123" t="e">
        <f t="shared" si="36"/>
        <v>#DIV/0!</v>
      </c>
      <c r="AD21" s="123" t="e">
        <f t="shared" si="37"/>
        <v>#DIV/0!</v>
      </c>
      <c r="AE21" s="124">
        <f t="shared" si="38"/>
        <v>3.1400000000000004E-2</v>
      </c>
      <c r="AF21" s="156">
        <v>0.95960000000000001</v>
      </c>
      <c r="AG21" s="124" t="s">
        <v>301</v>
      </c>
      <c r="AH21" s="116"/>
    </row>
    <row r="22" spans="1:34" ht="30" customHeight="1" x14ac:dyDescent="0.2">
      <c r="A22" s="121" t="s">
        <v>418</v>
      </c>
      <c r="B22" s="116">
        <v>0.61099999999999999</v>
      </c>
      <c r="C22" s="116"/>
      <c r="D22" s="116"/>
      <c r="E22" s="116"/>
      <c r="F22" s="116">
        <v>18</v>
      </c>
      <c r="G22" s="173">
        <f t="shared" si="28"/>
        <v>9.1649999999999991</v>
      </c>
      <c r="H22" s="127"/>
      <c r="I22" s="123">
        <f t="shared" si="18"/>
        <v>0</v>
      </c>
      <c r="J22" s="123">
        <f t="shared" si="19"/>
        <v>9.333025E-3</v>
      </c>
      <c r="K22" s="126">
        <v>3000</v>
      </c>
      <c r="L22" s="126">
        <f t="shared" si="20"/>
        <v>375</v>
      </c>
      <c r="M22" s="123">
        <v>8</v>
      </c>
      <c r="N22" s="116">
        <v>3.9300000000000002E-2</v>
      </c>
      <c r="O22" s="122">
        <v>1.2</v>
      </c>
      <c r="P22" s="117"/>
      <c r="Q22" s="122"/>
      <c r="R22" s="116" t="s">
        <v>31</v>
      </c>
      <c r="S22" s="116">
        <v>0.5</v>
      </c>
      <c r="T22" s="116">
        <v>4.2370000000000003E-3</v>
      </c>
      <c r="U22" s="132">
        <v>5.0860000000000002E-2</v>
      </c>
      <c r="V22" s="132">
        <v>8.5379999999999998E-2</v>
      </c>
      <c r="W22" s="131">
        <v>2.1724299999999999</v>
      </c>
      <c r="X22" s="131">
        <v>1.1154500000000001</v>
      </c>
      <c r="Y22" s="124">
        <f t="shared" si="21"/>
        <v>15.799313928480787</v>
      </c>
      <c r="Z22" s="126">
        <f t="shared" si="22"/>
        <v>159.87748873230498</v>
      </c>
      <c r="AA22" s="123">
        <f t="shared" si="23"/>
        <v>19.984686091538123</v>
      </c>
      <c r="AB22" s="123">
        <f t="shared" si="24"/>
        <v>25.858124269199326</v>
      </c>
      <c r="AC22" s="123" t="e">
        <f t="shared" si="25"/>
        <v>#DIV/0!</v>
      </c>
      <c r="AD22" s="123" t="e">
        <f t="shared" si="26"/>
        <v>#DIV/0!</v>
      </c>
      <c r="AE22" s="124">
        <f t="shared" si="27"/>
        <v>4.7160000000000001E-2</v>
      </c>
      <c r="AF22" s="131">
        <v>0.98560000000000003</v>
      </c>
      <c r="AG22" s="124" t="s">
        <v>301</v>
      </c>
      <c r="AH22" s="116" t="s">
        <v>419</v>
      </c>
    </row>
    <row r="23" spans="1:34" ht="30" customHeight="1" x14ac:dyDescent="0.2">
      <c r="A23" s="121" t="s">
        <v>427</v>
      </c>
      <c r="B23" s="116">
        <v>0.78500000000000003</v>
      </c>
      <c r="C23" s="116"/>
      <c r="D23" s="116"/>
      <c r="E23" s="116"/>
      <c r="F23" s="116">
        <v>18</v>
      </c>
      <c r="G23" s="173">
        <f t="shared" si="28"/>
        <v>11.775</v>
      </c>
      <c r="H23" s="127"/>
      <c r="I23" s="123">
        <f t="shared" si="18"/>
        <v>0</v>
      </c>
      <c r="J23" s="123">
        <f t="shared" si="19"/>
        <v>1.5405625000000001E-2</v>
      </c>
      <c r="K23" s="126">
        <v>3000</v>
      </c>
      <c r="L23" s="126">
        <f t="shared" si="20"/>
        <v>375</v>
      </c>
      <c r="M23" s="123">
        <v>8</v>
      </c>
      <c r="N23" s="116">
        <v>0.157</v>
      </c>
      <c r="O23" s="122">
        <v>1.2</v>
      </c>
      <c r="P23" s="117"/>
      <c r="Q23" s="122"/>
      <c r="R23" s="116" t="s">
        <v>31</v>
      </c>
      <c r="S23" s="116">
        <v>0.5</v>
      </c>
      <c r="T23" s="116">
        <v>3.3834999999999997E-2</v>
      </c>
      <c r="U23" s="132">
        <v>0.14229</v>
      </c>
      <c r="V23" s="132">
        <v>0.23197000000000001</v>
      </c>
      <c r="W23" s="131">
        <v>2.1940200000000001</v>
      </c>
      <c r="X23" s="131">
        <v>1.16127</v>
      </c>
      <c r="Y23" s="124">
        <f t="shared" si="21"/>
        <v>7.9046869914703786</v>
      </c>
      <c r="Z23" s="126">
        <f t="shared" si="22"/>
        <v>40.020288580761694</v>
      </c>
      <c r="AA23" s="123">
        <f t="shared" si="23"/>
        <v>5.0025360725952117</v>
      </c>
      <c r="AB23" s="123">
        <f t="shared" si="24"/>
        <v>10.069664957287106</v>
      </c>
      <c r="AC23" s="123" t="e">
        <f t="shared" si="25"/>
        <v>#DIV/0!</v>
      </c>
      <c r="AD23" s="123" t="e">
        <f t="shared" si="26"/>
        <v>#DIV/0!</v>
      </c>
      <c r="AE23" s="124">
        <f t="shared" si="27"/>
        <v>0.18839999999999998</v>
      </c>
      <c r="AF23" s="124">
        <v>0.88749999999999996</v>
      </c>
      <c r="AG23" s="124" t="s">
        <v>301</v>
      </c>
      <c r="AH23" s="116"/>
    </row>
    <row r="24" spans="1:34" ht="30" customHeight="1" x14ac:dyDescent="0.2">
      <c r="A24" s="121" t="s">
        <v>456</v>
      </c>
      <c r="B24" s="116">
        <v>1.0369999999999999</v>
      </c>
      <c r="C24" s="116"/>
      <c r="D24" s="116"/>
      <c r="E24" s="116"/>
      <c r="F24" s="116">
        <v>24</v>
      </c>
      <c r="G24" s="116">
        <f t="shared" si="28"/>
        <v>15.555</v>
      </c>
      <c r="H24" s="127"/>
      <c r="I24" s="123">
        <f t="shared" si="18"/>
        <v>0</v>
      </c>
      <c r="J24" s="123">
        <f t="shared" si="19"/>
        <v>2.6884224999999998E-2</v>
      </c>
      <c r="K24" s="126">
        <v>3000</v>
      </c>
      <c r="L24" s="126">
        <f t="shared" si="20"/>
        <v>375</v>
      </c>
      <c r="M24" s="123">
        <v>8</v>
      </c>
      <c r="N24" s="116">
        <v>7.85E-2</v>
      </c>
      <c r="O24" s="122">
        <v>2</v>
      </c>
      <c r="P24" s="117"/>
      <c r="Q24" s="122"/>
      <c r="R24" s="116" t="s">
        <v>31</v>
      </c>
      <c r="S24" s="116">
        <v>0.5</v>
      </c>
      <c r="T24" s="116">
        <v>3.3229000000000002E-2</v>
      </c>
      <c r="U24" s="132">
        <v>0.14213999999999999</v>
      </c>
      <c r="V24" s="132">
        <v>0.23719000000000001</v>
      </c>
      <c r="W24" s="131">
        <v>2.1767300000000001</v>
      </c>
      <c r="X24" s="131">
        <v>1.12452</v>
      </c>
      <c r="Y24" s="124">
        <f t="shared" si="21"/>
        <v>11.178915549651588</v>
      </c>
      <c r="Z24" s="126">
        <f t="shared" si="22"/>
        <v>80.040577161523387</v>
      </c>
      <c r="AA24" s="123">
        <f t="shared" si="23"/>
        <v>10.005072145190423</v>
      </c>
      <c r="AB24" s="123">
        <f t="shared" si="24"/>
        <v>10.780053567648592</v>
      </c>
      <c r="AC24" s="123" t="e">
        <f t="shared" si="25"/>
        <v>#DIV/0!</v>
      </c>
      <c r="AD24" s="123" t="e">
        <f t="shared" si="26"/>
        <v>#DIV/0!</v>
      </c>
      <c r="AE24" s="124">
        <f t="shared" si="27"/>
        <v>0.157</v>
      </c>
      <c r="AF24" s="156">
        <v>0.95960000000000001</v>
      </c>
      <c r="AG24" s="124" t="s">
        <v>301</v>
      </c>
      <c r="AH24" s="116"/>
    </row>
    <row r="25" spans="1:34" ht="30" customHeight="1" x14ac:dyDescent="0.2">
      <c r="A25" s="121" t="s">
        <v>457</v>
      </c>
      <c r="B25" s="116">
        <v>0.65900000000000003</v>
      </c>
      <c r="C25" s="116"/>
      <c r="D25" s="116"/>
      <c r="E25" s="116"/>
      <c r="F25" s="116">
        <v>24</v>
      </c>
      <c r="G25" s="116">
        <f t="shared" si="28"/>
        <v>9.8849999999999998</v>
      </c>
      <c r="H25" s="127"/>
      <c r="I25" s="123">
        <f t="shared" si="18"/>
        <v>0</v>
      </c>
      <c r="J25" s="123">
        <f t="shared" si="19"/>
        <v>1.0857024999999999E-2</v>
      </c>
      <c r="K25" s="126">
        <v>3000</v>
      </c>
      <c r="L25" s="126">
        <f t="shared" si="20"/>
        <v>375</v>
      </c>
      <c r="M25" s="123">
        <v>8</v>
      </c>
      <c r="N25" s="116">
        <v>7.85E-2</v>
      </c>
      <c r="O25" s="122">
        <v>0.4</v>
      </c>
      <c r="P25" s="117"/>
      <c r="Q25" s="122"/>
      <c r="R25" s="116" t="s">
        <v>31</v>
      </c>
      <c r="S25" s="116">
        <v>0.5</v>
      </c>
      <c r="T25" s="116">
        <v>1.3290000000000001E-3</v>
      </c>
      <c r="U25" s="132">
        <v>2.843E-2</v>
      </c>
      <c r="V25" s="132">
        <v>4.7440000000000003E-2</v>
      </c>
      <c r="W25" s="131">
        <v>2.1767300000000001</v>
      </c>
      <c r="X25" s="131">
        <v>1.12452</v>
      </c>
      <c r="Y25" s="124">
        <f t="shared" si="21"/>
        <v>11.178915549651588</v>
      </c>
      <c r="Z25" s="126">
        <f t="shared" si="22"/>
        <v>80.040577161523387</v>
      </c>
      <c r="AA25" s="123">
        <f t="shared" si="23"/>
        <v>10.005072145190423</v>
      </c>
      <c r="AB25" s="123">
        <f t="shared" si="24"/>
        <v>16.963453034372666</v>
      </c>
      <c r="AC25" s="123" t="e">
        <f t="shared" si="25"/>
        <v>#DIV/0!</v>
      </c>
      <c r="AD25" s="123" t="e">
        <f t="shared" si="26"/>
        <v>#DIV/0!</v>
      </c>
      <c r="AE25" s="124">
        <f t="shared" si="27"/>
        <v>3.1400000000000004E-2</v>
      </c>
      <c r="AF25" s="156">
        <v>0.95960000000000001</v>
      </c>
      <c r="AG25" s="124" t="s">
        <v>301</v>
      </c>
      <c r="AH25" s="116"/>
    </row>
    <row r="26" spans="1:34" ht="30" customHeight="1" x14ac:dyDescent="0.2">
      <c r="A26" s="121" t="s">
        <v>458</v>
      </c>
      <c r="B26" s="116">
        <v>0.79900000000000004</v>
      </c>
      <c r="C26" s="116"/>
      <c r="D26" s="116"/>
      <c r="E26" s="116"/>
      <c r="F26" s="116">
        <v>24</v>
      </c>
      <c r="G26" s="116">
        <f t="shared" si="28"/>
        <v>11.985000000000001</v>
      </c>
      <c r="H26" s="127"/>
      <c r="I26" s="123">
        <f t="shared" ref="I26:I29" si="39">E26/B26</f>
        <v>0</v>
      </c>
      <c r="J26" s="123">
        <f t="shared" ref="J26:J29" si="40">G26*B26/600</f>
        <v>1.5960025000000003E-2</v>
      </c>
      <c r="K26" s="126">
        <v>3000</v>
      </c>
      <c r="L26" s="126">
        <f t="shared" ref="L26:L29" si="41">INT(K26/M26)</f>
        <v>375</v>
      </c>
      <c r="M26" s="123">
        <v>8</v>
      </c>
      <c r="N26" s="116">
        <v>3.9300000000000002E-2</v>
      </c>
      <c r="O26" s="122">
        <v>1.2</v>
      </c>
      <c r="P26" s="117"/>
      <c r="Q26" s="122"/>
      <c r="R26" s="116" t="s">
        <v>31</v>
      </c>
      <c r="S26" s="116">
        <v>0.5</v>
      </c>
      <c r="T26" s="116">
        <v>4.2370000000000003E-3</v>
      </c>
      <c r="U26" s="132">
        <v>5.0860000000000002E-2</v>
      </c>
      <c r="V26" s="132">
        <v>8.5379999999999998E-2</v>
      </c>
      <c r="W26" s="131">
        <v>2.1724299999999999</v>
      </c>
      <c r="X26" s="131">
        <v>1.1154500000000001</v>
      </c>
      <c r="Y26" s="124">
        <f t="shared" ref="Y26:Y29" si="42">SQRT(9.81/N26)</f>
        <v>15.799313928480787</v>
      </c>
      <c r="Z26" s="126">
        <f t="shared" ref="Z26:Z29" si="43">2*PI()/N26</f>
        <v>159.87748873230498</v>
      </c>
      <c r="AA26" s="123">
        <f t="shared" ref="AA26:AA29" si="44">Z26/(M26)</f>
        <v>19.984686091538123</v>
      </c>
      <c r="AB26" s="123">
        <f t="shared" ref="AB26:AB29" si="45">Y26/B26</f>
        <v>19.773859735270069</v>
      </c>
      <c r="AC26" s="123" t="e">
        <f t="shared" ref="AC26:AC29" si="46">Y26/C26</f>
        <v>#DIV/0!</v>
      </c>
      <c r="AD26" s="123" t="e">
        <f t="shared" ref="AD26:AD29" si="47">Y26/D26</f>
        <v>#DIV/0!</v>
      </c>
      <c r="AE26" s="124">
        <f t="shared" ref="AE26:AE29" si="48">N26*O26</f>
        <v>4.7160000000000001E-2</v>
      </c>
      <c r="AF26" s="131">
        <v>0.98560000000000003</v>
      </c>
      <c r="AG26" s="124" t="s">
        <v>301</v>
      </c>
      <c r="AH26" s="116"/>
    </row>
    <row r="27" spans="1:34" ht="30" customHeight="1" x14ac:dyDescent="0.2">
      <c r="A27" s="121" t="s">
        <v>459</v>
      </c>
      <c r="B27" s="116">
        <v>1.0189999999999999</v>
      </c>
      <c r="C27" s="116"/>
      <c r="D27" s="116"/>
      <c r="E27" s="116"/>
      <c r="F27" s="116">
        <v>24</v>
      </c>
      <c r="G27" s="116">
        <f t="shared" si="28"/>
        <v>15.284999999999998</v>
      </c>
      <c r="H27" s="127"/>
      <c r="I27" s="123">
        <f t="shared" si="39"/>
        <v>0</v>
      </c>
      <c r="J27" s="123">
        <f t="shared" si="40"/>
        <v>2.5959024999999993E-2</v>
      </c>
      <c r="K27" s="126">
        <v>3000</v>
      </c>
      <c r="L27" s="126">
        <f t="shared" si="41"/>
        <v>375</v>
      </c>
      <c r="M27" s="123">
        <v>8</v>
      </c>
      <c r="N27" s="116">
        <v>0.157</v>
      </c>
      <c r="O27" s="122">
        <v>1.2</v>
      </c>
      <c r="P27" s="117"/>
      <c r="Q27" s="122"/>
      <c r="R27" s="116" t="s">
        <v>31</v>
      </c>
      <c r="S27" s="116">
        <v>0.5</v>
      </c>
      <c r="T27" s="116">
        <v>3.3834999999999997E-2</v>
      </c>
      <c r="U27" s="132">
        <v>0.14229</v>
      </c>
      <c r="V27" s="132">
        <v>0.23197000000000001</v>
      </c>
      <c r="W27" s="131">
        <v>2.1940200000000001</v>
      </c>
      <c r="X27" s="131">
        <v>1.16127</v>
      </c>
      <c r="Y27" s="124">
        <f t="shared" si="42"/>
        <v>7.9046869914703786</v>
      </c>
      <c r="Z27" s="126">
        <f t="shared" si="43"/>
        <v>40.020288580761694</v>
      </c>
      <c r="AA27" s="123">
        <f t="shared" si="44"/>
        <v>5.0025360725952117</v>
      </c>
      <c r="AB27" s="123">
        <f t="shared" si="45"/>
        <v>7.7572983233271628</v>
      </c>
      <c r="AC27" s="123" t="e">
        <f t="shared" si="46"/>
        <v>#DIV/0!</v>
      </c>
      <c r="AD27" s="123" t="e">
        <f t="shared" si="47"/>
        <v>#DIV/0!</v>
      </c>
      <c r="AE27" s="124">
        <f t="shared" si="48"/>
        <v>0.18839999999999998</v>
      </c>
      <c r="AF27" s="124">
        <v>0.88749999999999996</v>
      </c>
      <c r="AG27" s="124" t="s">
        <v>301</v>
      </c>
      <c r="AH27" s="116"/>
    </row>
    <row r="28" spans="1:34" ht="30" customHeight="1" x14ac:dyDescent="0.2">
      <c r="A28" s="121" t="s">
        <v>460</v>
      </c>
      <c r="B28" s="116">
        <v>0.53</v>
      </c>
      <c r="C28" s="116"/>
      <c r="D28" s="116"/>
      <c r="E28" s="116"/>
      <c r="F28" s="116">
        <v>12</v>
      </c>
      <c r="G28" s="116">
        <f t="shared" si="28"/>
        <v>7.95</v>
      </c>
      <c r="H28" s="127"/>
      <c r="I28" s="123">
        <f t="shared" si="39"/>
        <v>0</v>
      </c>
      <c r="J28" s="123">
        <f t="shared" si="40"/>
        <v>7.022500000000001E-3</v>
      </c>
      <c r="K28" s="126">
        <v>3000</v>
      </c>
      <c r="L28" s="126">
        <f t="shared" si="41"/>
        <v>375</v>
      </c>
      <c r="M28" s="123">
        <v>8</v>
      </c>
      <c r="N28" s="116">
        <v>7.85E-2</v>
      </c>
      <c r="O28" s="122">
        <v>2</v>
      </c>
      <c r="P28" s="117"/>
      <c r="Q28" s="122"/>
      <c r="R28" s="116" t="s">
        <v>31</v>
      </c>
      <c r="S28" s="116">
        <v>0.5</v>
      </c>
      <c r="T28" s="116">
        <v>3.3229000000000002E-2</v>
      </c>
      <c r="U28" s="132">
        <v>0.14213999999999999</v>
      </c>
      <c r="V28" s="132">
        <v>0.23719000000000001</v>
      </c>
      <c r="W28" s="131">
        <v>2.1767300000000001</v>
      </c>
      <c r="X28" s="131">
        <v>1.12452</v>
      </c>
      <c r="Y28" s="124">
        <f t="shared" si="42"/>
        <v>11.178915549651588</v>
      </c>
      <c r="Z28" s="126">
        <f t="shared" si="43"/>
        <v>80.040577161523387</v>
      </c>
      <c r="AA28" s="123">
        <f t="shared" si="44"/>
        <v>10.005072145190423</v>
      </c>
      <c r="AB28" s="123">
        <f t="shared" si="45"/>
        <v>21.092293489908656</v>
      </c>
      <c r="AC28" s="123" t="e">
        <f t="shared" si="46"/>
        <v>#DIV/0!</v>
      </c>
      <c r="AD28" s="123" t="e">
        <f t="shared" si="47"/>
        <v>#DIV/0!</v>
      </c>
      <c r="AE28" s="124">
        <f t="shared" si="48"/>
        <v>0.157</v>
      </c>
      <c r="AF28" s="156">
        <v>0.95960000000000001</v>
      </c>
      <c r="AG28" s="124" t="s">
        <v>301</v>
      </c>
      <c r="AH28" s="116"/>
    </row>
    <row r="29" spans="1:34" ht="30" customHeight="1" x14ac:dyDescent="0.2">
      <c r="A29" s="121" t="s">
        <v>461</v>
      </c>
      <c r="B29" s="116">
        <v>0.32100000000000001</v>
      </c>
      <c r="C29" s="116"/>
      <c r="D29" s="116"/>
      <c r="E29" s="116"/>
      <c r="F29" s="116">
        <v>12</v>
      </c>
      <c r="G29" s="116">
        <f t="shared" si="28"/>
        <v>4.8150000000000004</v>
      </c>
      <c r="H29" s="127"/>
      <c r="I29" s="123">
        <f t="shared" si="39"/>
        <v>0</v>
      </c>
      <c r="J29" s="123">
        <f t="shared" si="40"/>
        <v>2.5760250000000004E-3</v>
      </c>
      <c r="K29" s="126">
        <v>3000</v>
      </c>
      <c r="L29" s="126">
        <f t="shared" si="41"/>
        <v>375</v>
      </c>
      <c r="M29" s="123">
        <v>8</v>
      </c>
      <c r="N29" s="116">
        <v>7.85E-2</v>
      </c>
      <c r="O29" s="122">
        <v>0.4</v>
      </c>
      <c r="P29" s="117"/>
      <c r="Q29" s="122"/>
      <c r="R29" s="116" t="s">
        <v>31</v>
      </c>
      <c r="S29" s="116">
        <v>0.5</v>
      </c>
      <c r="T29" s="116">
        <v>1.3290000000000001E-3</v>
      </c>
      <c r="U29" s="132">
        <v>2.843E-2</v>
      </c>
      <c r="V29" s="132">
        <v>4.7440000000000003E-2</v>
      </c>
      <c r="W29" s="131">
        <v>2.1767300000000001</v>
      </c>
      <c r="X29" s="131">
        <v>1.12452</v>
      </c>
      <c r="Y29" s="124">
        <f t="shared" si="42"/>
        <v>11.178915549651588</v>
      </c>
      <c r="Z29" s="126">
        <f t="shared" si="43"/>
        <v>80.040577161523387</v>
      </c>
      <c r="AA29" s="123">
        <f t="shared" si="44"/>
        <v>10.005072145190423</v>
      </c>
      <c r="AB29" s="123">
        <f t="shared" si="45"/>
        <v>34.825282086142018</v>
      </c>
      <c r="AC29" s="123" t="e">
        <f t="shared" si="46"/>
        <v>#DIV/0!</v>
      </c>
      <c r="AD29" s="123" t="e">
        <f t="shared" si="47"/>
        <v>#DIV/0!</v>
      </c>
      <c r="AE29" s="124">
        <f t="shared" si="48"/>
        <v>3.1400000000000004E-2</v>
      </c>
      <c r="AF29" s="156">
        <v>0.95960000000000001</v>
      </c>
      <c r="AG29" s="124" t="s">
        <v>301</v>
      </c>
      <c r="AH29" s="116"/>
    </row>
    <row r="30" spans="1:34" ht="30" customHeight="1" x14ac:dyDescent="0.2">
      <c r="A30" s="121" t="s">
        <v>462</v>
      </c>
      <c r="B30" s="116">
        <v>0.39500000000000002</v>
      </c>
      <c r="C30" s="116"/>
      <c r="D30" s="116"/>
      <c r="E30" s="116"/>
      <c r="F30" s="116">
        <v>12</v>
      </c>
      <c r="G30" s="116">
        <f t="shared" si="28"/>
        <v>5.9250000000000007</v>
      </c>
      <c r="H30" s="127"/>
      <c r="I30" s="123">
        <f t="shared" ref="I30:I31" si="49">E30/B30</f>
        <v>0</v>
      </c>
      <c r="J30" s="123">
        <f t="shared" ref="J30:J31" si="50">G30*B30/600</f>
        <v>3.9006250000000004E-3</v>
      </c>
      <c r="K30" s="126">
        <v>3000</v>
      </c>
      <c r="L30" s="126">
        <f t="shared" ref="L30:L31" si="51">INT(K30/M30)</f>
        <v>375</v>
      </c>
      <c r="M30" s="123">
        <v>8</v>
      </c>
      <c r="N30" s="116">
        <v>3.9300000000000002E-2</v>
      </c>
      <c r="O30" s="122">
        <v>1.2</v>
      </c>
      <c r="P30" s="117"/>
      <c r="Q30" s="122"/>
      <c r="R30" s="116" t="s">
        <v>31</v>
      </c>
      <c r="S30" s="116">
        <v>0.5</v>
      </c>
      <c r="T30" s="116">
        <v>4.2370000000000003E-3</v>
      </c>
      <c r="U30" s="132">
        <v>5.0860000000000002E-2</v>
      </c>
      <c r="V30" s="132">
        <v>8.5379999999999998E-2</v>
      </c>
      <c r="W30" s="131">
        <v>2.1724299999999999</v>
      </c>
      <c r="X30" s="131">
        <v>1.1154500000000001</v>
      </c>
      <c r="Y30" s="124">
        <f t="shared" ref="Y30:Y31" si="52">SQRT(9.81/N30)</f>
        <v>15.799313928480787</v>
      </c>
      <c r="Z30" s="126">
        <f t="shared" ref="Z30:Z31" si="53">2*PI()/N30</f>
        <v>159.87748873230498</v>
      </c>
      <c r="AA30" s="123">
        <f t="shared" ref="AA30:AA31" si="54">Z30/(M30)</f>
        <v>19.984686091538123</v>
      </c>
      <c r="AB30" s="123">
        <f t="shared" ref="AB30:AB31" si="55">Y30/B30</f>
        <v>39.998263110077943</v>
      </c>
      <c r="AC30" s="123" t="e">
        <f t="shared" ref="AC30:AC31" si="56">Y30/C30</f>
        <v>#DIV/0!</v>
      </c>
      <c r="AD30" s="123" t="e">
        <f t="shared" ref="AD30:AD31" si="57">Y30/D30</f>
        <v>#DIV/0!</v>
      </c>
      <c r="AE30" s="124">
        <f t="shared" ref="AE30:AE31" si="58">N30*O30</f>
        <v>4.7160000000000001E-2</v>
      </c>
      <c r="AF30" s="131">
        <v>0.98560000000000003</v>
      </c>
      <c r="AG30" s="124" t="s">
        <v>301</v>
      </c>
      <c r="AH30" s="116"/>
    </row>
    <row r="31" spans="1:34" ht="30" customHeight="1" x14ac:dyDescent="0.2">
      <c r="A31" s="121" t="s">
        <v>463</v>
      </c>
      <c r="B31" s="116">
        <v>0.54400000000000004</v>
      </c>
      <c r="C31" s="116"/>
      <c r="D31" s="116"/>
      <c r="E31" s="116"/>
      <c r="F31" s="116">
        <v>12</v>
      </c>
      <c r="G31" s="116">
        <f t="shared" si="28"/>
        <v>8.16</v>
      </c>
      <c r="H31" s="127"/>
      <c r="I31" s="123">
        <f t="shared" si="49"/>
        <v>0</v>
      </c>
      <c r="J31" s="123">
        <f t="shared" si="50"/>
        <v>7.3984000000000003E-3</v>
      </c>
      <c r="K31" s="126">
        <v>3000</v>
      </c>
      <c r="L31" s="126">
        <f t="shared" si="51"/>
        <v>375</v>
      </c>
      <c r="M31" s="123">
        <v>8</v>
      </c>
      <c r="N31" s="116">
        <v>0.157</v>
      </c>
      <c r="O31" s="122">
        <v>1.2</v>
      </c>
      <c r="P31" s="117"/>
      <c r="Q31" s="122"/>
      <c r="R31" s="116" t="s">
        <v>31</v>
      </c>
      <c r="S31" s="116">
        <v>0.5</v>
      </c>
      <c r="T31" s="116">
        <v>3.3834999999999997E-2</v>
      </c>
      <c r="U31" s="132">
        <v>0.14229</v>
      </c>
      <c r="V31" s="132">
        <v>0.23197000000000001</v>
      </c>
      <c r="W31" s="131">
        <v>2.1940200000000001</v>
      </c>
      <c r="X31" s="131">
        <v>1.16127</v>
      </c>
      <c r="Y31" s="124">
        <f t="shared" si="52"/>
        <v>7.9046869914703786</v>
      </c>
      <c r="Z31" s="126">
        <f t="shared" si="53"/>
        <v>40.020288580761694</v>
      </c>
      <c r="AA31" s="123">
        <f t="shared" si="54"/>
        <v>5.0025360725952117</v>
      </c>
      <c r="AB31" s="123">
        <f t="shared" si="55"/>
        <v>14.530674616673489</v>
      </c>
      <c r="AC31" s="123" t="e">
        <f t="shared" si="56"/>
        <v>#DIV/0!</v>
      </c>
      <c r="AD31" s="123" t="e">
        <f t="shared" si="57"/>
        <v>#DIV/0!</v>
      </c>
      <c r="AE31" s="124">
        <f t="shared" si="58"/>
        <v>0.18839999999999998</v>
      </c>
      <c r="AF31" s="124">
        <v>0.88749999999999996</v>
      </c>
      <c r="AG31" s="124" t="s">
        <v>301</v>
      </c>
      <c r="AH31" s="116"/>
    </row>
    <row r="32" spans="1:34" ht="30" customHeight="1" x14ac:dyDescent="0.2">
      <c r="A32" s="121" t="s">
        <v>429</v>
      </c>
      <c r="B32">
        <v>0.91700000000000004</v>
      </c>
      <c r="I32" s="123">
        <f t="shared" si="18"/>
        <v>0</v>
      </c>
      <c r="J32" s="123">
        <f t="shared" si="19"/>
        <v>0</v>
      </c>
      <c r="K32" s="126">
        <v>3000</v>
      </c>
      <c r="L32" s="126">
        <f>INT(K32/M32)</f>
        <v>375</v>
      </c>
      <c r="M32" s="123">
        <v>8</v>
      </c>
      <c r="N32" s="116">
        <v>7.85E-2</v>
      </c>
      <c r="O32" s="122">
        <v>1.2</v>
      </c>
      <c r="P32" s="117"/>
      <c r="Q32" s="122"/>
      <c r="R32" s="116" t="s">
        <v>31</v>
      </c>
      <c r="S32" s="116">
        <v>0.5</v>
      </c>
      <c r="T32" s="116">
        <v>1.1962E-2</v>
      </c>
      <c r="U32" s="132">
        <v>8.5279999999999995E-2</v>
      </c>
      <c r="V32" s="132">
        <v>0.14230999999999999</v>
      </c>
      <c r="W32" s="131">
        <v>2.1767300000000001</v>
      </c>
      <c r="X32" s="131">
        <v>1.12452</v>
      </c>
      <c r="Y32" s="124">
        <f>SQRT(9.81/N32)</f>
        <v>11.178915549651588</v>
      </c>
      <c r="Z32" s="126">
        <f>2*PI()/N32</f>
        <v>80.040577161523387</v>
      </c>
      <c r="AA32" s="123">
        <f>Z32/(M32)</f>
        <v>10.005072145190423</v>
      </c>
      <c r="AB32" s="123">
        <f>Y32/B32</f>
        <v>12.190747600492463</v>
      </c>
      <c r="AC32" s="123" t="e">
        <f>Y32/C32</f>
        <v>#DIV/0!</v>
      </c>
      <c r="AD32" s="123" t="e">
        <f>Y32/D32</f>
        <v>#DIV/0!</v>
      </c>
      <c r="AE32" s="124">
        <f>N32*O32</f>
        <v>9.4199999999999992E-2</v>
      </c>
      <c r="AF32" s="131">
        <v>0.95960000000000001</v>
      </c>
      <c r="AG32" s="124" t="s">
        <v>301</v>
      </c>
    </row>
    <row r="33" spans="1:33" ht="30" customHeight="1" x14ac:dyDescent="0.2">
      <c r="A33" s="121" t="s">
        <v>430</v>
      </c>
      <c r="B33">
        <v>0.97099999999999997</v>
      </c>
      <c r="I33" s="123">
        <f t="shared" si="18"/>
        <v>0</v>
      </c>
      <c r="J33" s="123">
        <f t="shared" si="19"/>
        <v>0</v>
      </c>
      <c r="K33" s="126">
        <v>3000</v>
      </c>
      <c r="L33" s="126">
        <f>INT(K33/M33)</f>
        <v>375</v>
      </c>
      <c r="M33" s="123">
        <v>8</v>
      </c>
      <c r="N33" s="116">
        <v>7.85E-2</v>
      </c>
      <c r="O33" s="122">
        <v>1.2</v>
      </c>
      <c r="P33" s="117"/>
      <c r="Q33" s="122"/>
      <c r="R33" s="116" t="s">
        <v>31</v>
      </c>
      <c r="S33" s="116">
        <v>0.5</v>
      </c>
      <c r="T33" s="116">
        <v>1.1962E-2</v>
      </c>
      <c r="U33" s="132">
        <v>8.5279999999999995E-2</v>
      </c>
      <c r="V33" s="132">
        <v>0.14230999999999999</v>
      </c>
      <c r="W33" s="131">
        <v>2.1767300000000001</v>
      </c>
      <c r="X33" s="131">
        <v>1.12452</v>
      </c>
      <c r="Y33" s="124">
        <f>SQRT(9.81/N33)</f>
        <v>11.178915549651588</v>
      </c>
      <c r="Z33" s="126">
        <f>2*PI()/N33</f>
        <v>80.040577161523387</v>
      </c>
      <c r="AA33" s="123">
        <f>Z33/(M33)</f>
        <v>10.005072145190423</v>
      </c>
      <c r="AB33" s="123">
        <f>Y33/B33</f>
        <v>11.512786353915127</v>
      </c>
      <c r="AC33" s="123" t="e">
        <f>Y33/C33</f>
        <v>#DIV/0!</v>
      </c>
      <c r="AD33" s="123" t="e">
        <f>Y33/D33</f>
        <v>#DIV/0!</v>
      </c>
      <c r="AE33" s="124">
        <f>N33*O33</f>
        <v>9.4199999999999992E-2</v>
      </c>
      <c r="AF33" s="131">
        <v>0.95960000000000001</v>
      </c>
      <c r="AG33" s="124" t="s">
        <v>301</v>
      </c>
    </row>
    <row r="34" spans="1:33" s="168" customFormat="1" ht="8" customHeight="1" x14ac:dyDescent="0.2">
      <c r="A34" s="160"/>
      <c r="I34" s="163"/>
      <c r="J34" s="163"/>
      <c r="K34" s="164"/>
      <c r="L34" s="164"/>
      <c r="M34" s="163"/>
      <c r="N34" s="161"/>
      <c r="O34" s="165"/>
      <c r="P34" s="172"/>
      <c r="Q34" s="165"/>
      <c r="R34" s="161"/>
      <c r="S34" s="161"/>
      <c r="T34" s="161"/>
      <c r="U34" s="166"/>
      <c r="V34" s="166"/>
      <c r="W34" s="155"/>
      <c r="X34" s="155"/>
      <c r="Y34" s="167"/>
      <c r="Z34" s="164"/>
      <c r="AA34" s="163"/>
      <c r="AB34" s="163"/>
      <c r="AC34" s="163"/>
      <c r="AD34" s="163"/>
      <c r="AE34" s="167"/>
      <c r="AF34" s="169"/>
      <c r="AG34" s="167"/>
    </row>
    <row r="35" spans="1:33" ht="30" customHeight="1" x14ac:dyDescent="0.2">
      <c r="A35" s="121" t="s">
        <v>431</v>
      </c>
      <c r="B35">
        <v>0.53200000000000003</v>
      </c>
      <c r="F35">
        <v>18</v>
      </c>
      <c r="I35" s="123">
        <f t="shared" ref="I35:I37" si="59">E35/B35</f>
        <v>0</v>
      </c>
      <c r="J35" s="123">
        <f t="shared" ref="J35:J37" si="60">G35*B35/600</f>
        <v>0</v>
      </c>
      <c r="K35" s="126">
        <v>3000</v>
      </c>
      <c r="L35" s="126">
        <f t="shared" ref="L35:L37" si="61">INT(K35/M35)</f>
        <v>375</v>
      </c>
      <c r="M35" s="123">
        <v>8</v>
      </c>
      <c r="N35" s="116">
        <v>7.85E-2</v>
      </c>
      <c r="O35" s="122">
        <v>0.4</v>
      </c>
      <c r="P35" s="127">
        <v>3750000</v>
      </c>
      <c r="Q35" s="123">
        <v>0.4</v>
      </c>
      <c r="R35" s="116" t="s">
        <v>31</v>
      </c>
      <c r="S35" s="116">
        <v>0.5</v>
      </c>
      <c r="T35" s="116"/>
      <c r="U35" s="132">
        <v>2.9760000000000002E-2</v>
      </c>
      <c r="V35" s="132">
        <v>5.8959999999999999E-2</v>
      </c>
      <c r="W35" s="131">
        <v>1.5643</v>
      </c>
      <c r="X35" s="131">
        <v>0.78954999999999997</v>
      </c>
      <c r="Y35" s="124">
        <f>SQRT(9.81/N35)</f>
        <v>11.178915549651588</v>
      </c>
      <c r="Z35" s="126">
        <f>2*PI()/N35</f>
        <v>80.040577161523387</v>
      </c>
      <c r="AA35" s="123">
        <f>Z35/(M35)</f>
        <v>10.005072145190423</v>
      </c>
      <c r="AB35" s="123">
        <f>Y35/B35</f>
        <v>21.012999153480429</v>
      </c>
      <c r="AC35" s="123" t="e">
        <f>Y35/C35</f>
        <v>#DIV/0!</v>
      </c>
      <c r="AD35" s="123" t="e">
        <f>Y35/D35</f>
        <v>#DIV/0!</v>
      </c>
      <c r="AE35" s="124">
        <f>N35*O35</f>
        <v>3.1400000000000004E-2</v>
      </c>
      <c r="AF35" s="156">
        <v>0.95960000000000001</v>
      </c>
      <c r="AG35" s="124" t="s">
        <v>300</v>
      </c>
    </row>
    <row r="36" spans="1:33" ht="30" customHeight="1" x14ac:dyDescent="0.2">
      <c r="A36" s="121" t="s">
        <v>433</v>
      </c>
      <c r="B36">
        <v>0.47</v>
      </c>
      <c r="F36">
        <v>18</v>
      </c>
      <c r="I36" s="123">
        <f t="shared" ref="I36" si="62">E36/B36</f>
        <v>0</v>
      </c>
      <c r="J36" s="123">
        <f t="shared" ref="J36" si="63">G36*B36/600</f>
        <v>0</v>
      </c>
      <c r="K36" s="126">
        <v>3000</v>
      </c>
      <c r="L36" s="126">
        <f t="shared" ref="L36" si="64">INT(K36/M36)</f>
        <v>375</v>
      </c>
      <c r="M36" s="123">
        <v>8</v>
      </c>
      <c r="N36" s="116">
        <v>7.85E-2</v>
      </c>
      <c r="O36" s="122">
        <v>0.4</v>
      </c>
      <c r="P36" s="127">
        <v>49360000</v>
      </c>
      <c r="Q36" s="123">
        <v>0.03</v>
      </c>
      <c r="R36" s="116" t="s">
        <v>31</v>
      </c>
      <c r="S36" s="116">
        <v>0.5</v>
      </c>
      <c r="T36" s="116"/>
      <c r="U36" s="132">
        <v>1.268E-2</v>
      </c>
      <c r="V36" s="132">
        <v>2.511E-2</v>
      </c>
      <c r="W36" s="131">
        <v>1.5643499999999999</v>
      </c>
      <c r="X36" s="131">
        <v>0.78966999999999998</v>
      </c>
      <c r="Y36" s="124">
        <f>SQRT(9.81/N36)</f>
        <v>11.178915549651588</v>
      </c>
      <c r="Z36" s="126">
        <f>2*PI()/N36</f>
        <v>80.040577161523387</v>
      </c>
      <c r="AA36" s="123">
        <f>Z36/(M36)</f>
        <v>10.005072145190423</v>
      </c>
      <c r="AB36" s="123">
        <f>Y36/B36</f>
        <v>23.784926701386357</v>
      </c>
      <c r="AC36" s="123" t="e">
        <f>Y36/C36</f>
        <v>#DIV/0!</v>
      </c>
      <c r="AD36" s="123" t="e">
        <f>Y36/D36</f>
        <v>#DIV/0!</v>
      </c>
      <c r="AE36" s="124">
        <f>N36*O36</f>
        <v>3.1400000000000004E-2</v>
      </c>
      <c r="AF36" s="156">
        <v>0.95960000000000001</v>
      </c>
      <c r="AG36" s="124" t="s">
        <v>300</v>
      </c>
    </row>
    <row r="37" spans="1:33" ht="30" customHeight="1" x14ac:dyDescent="0.2">
      <c r="A37" s="121" t="s">
        <v>432</v>
      </c>
      <c r="B37">
        <v>0.58299999999999996</v>
      </c>
      <c r="F37">
        <v>18</v>
      </c>
      <c r="I37" s="123">
        <f t="shared" si="59"/>
        <v>0</v>
      </c>
      <c r="J37" s="123">
        <f t="shared" si="60"/>
        <v>0</v>
      </c>
      <c r="K37" s="126">
        <v>3000</v>
      </c>
      <c r="L37" s="126">
        <f t="shared" si="61"/>
        <v>375</v>
      </c>
      <c r="M37" s="123">
        <v>8</v>
      </c>
      <c r="N37" s="116">
        <v>3.9300000000000002E-2</v>
      </c>
      <c r="O37" s="122">
        <v>1.2</v>
      </c>
      <c r="P37" s="127">
        <v>3321000</v>
      </c>
      <c r="Q37" s="123">
        <v>1.29</v>
      </c>
      <c r="R37" s="116" t="s">
        <v>31</v>
      </c>
      <c r="S37" s="116">
        <v>0.5</v>
      </c>
      <c r="T37" s="116"/>
      <c r="U37" s="132">
        <v>3.9120000000000002E-2</v>
      </c>
      <c r="V37" s="132">
        <v>7.8049999999999994E-2</v>
      </c>
      <c r="W37" s="131">
        <v>1.5618399999999999</v>
      </c>
      <c r="X37" s="131">
        <v>0.78456999999999999</v>
      </c>
      <c r="Y37" s="124">
        <f>SQRT(9.81/N37)</f>
        <v>15.799313928480787</v>
      </c>
      <c r="Z37" s="126">
        <f>2*PI()/N37</f>
        <v>159.87748873230498</v>
      </c>
      <c r="AA37" s="123">
        <f>Z37/(M37)</f>
        <v>19.984686091538123</v>
      </c>
      <c r="AB37" s="123">
        <f>Y37/B37</f>
        <v>27.100023891047663</v>
      </c>
      <c r="AC37" s="123" t="e">
        <f>Y37/C37</f>
        <v>#DIV/0!</v>
      </c>
      <c r="AD37" s="123" t="e">
        <f>Y37/D37</f>
        <v>#DIV/0!</v>
      </c>
      <c r="AE37" s="124">
        <f>N37*O37</f>
        <v>4.7160000000000001E-2</v>
      </c>
      <c r="AF37" s="131">
        <v>0.98560000000000003</v>
      </c>
      <c r="AG37" s="124" t="s">
        <v>300</v>
      </c>
    </row>
    <row r="38" spans="1:33" ht="30" customHeight="1" x14ac:dyDescent="0.2">
      <c r="A38" s="121" t="s">
        <v>434</v>
      </c>
      <c r="B38">
        <v>0.47899999999999998</v>
      </c>
      <c r="F38">
        <v>18</v>
      </c>
      <c r="I38" s="123">
        <f t="shared" ref="I38:I45" si="65">E38/B38</f>
        <v>0</v>
      </c>
      <c r="J38" s="123">
        <f t="shared" ref="J38:J45" si="66">G38*B38/600</f>
        <v>0</v>
      </c>
      <c r="K38" s="126">
        <v>3000</v>
      </c>
      <c r="L38" s="126">
        <f t="shared" ref="L38:L45" si="67">INT(K38/M38)</f>
        <v>375</v>
      </c>
      <c r="M38" s="123">
        <v>8</v>
      </c>
      <c r="N38" s="116">
        <v>3.9300000000000002E-2</v>
      </c>
      <c r="O38" s="122">
        <v>1.2</v>
      </c>
      <c r="P38" s="127">
        <v>28590000</v>
      </c>
      <c r="Q38" s="123">
        <v>0.15</v>
      </c>
      <c r="R38" s="116" t="s">
        <v>31</v>
      </c>
      <c r="S38" s="116">
        <v>0.5</v>
      </c>
      <c r="T38" s="116"/>
      <c r="U38" s="132">
        <v>1.9230000000000001E-2</v>
      </c>
      <c r="V38" s="132">
        <v>3.8370000000000001E-2</v>
      </c>
      <c r="W38" s="131">
        <v>1.5618399999999999</v>
      </c>
      <c r="X38" s="131">
        <v>0.78456999999999999</v>
      </c>
      <c r="Y38" s="124">
        <f>SQRT(9.81/N38)</f>
        <v>15.799313928480787</v>
      </c>
      <c r="Z38" s="126">
        <f>2*PI()/N38</f>
        <v>159.87748873230498</v>
      </c>
      <c r="AA38" s="123">
        <f>Z38/(M38)</f>
        <v>19.984686091538123</v>
      </c>
      <c r="AB38" s="123">
        <f>Y38/B38</f>
        <v>32.983953921671791</v>
      </c>
      <c r="AC38" s="123" t="e">
        <f>Y38/C38</f>
        <v>#DIV/0!</v>
      </c>
      <c r="AD38" s="123" t="e">
        <f>Y38/D38</f>
        <v>#DIV/0!</v>
      </c>
      <c r="AE38" s="124">
        <f>N38*O38</f>
        <v>4.7160000000000001E-2</v>
      </c>
      <c r="AF38" s="131">
        <v>0.98560000000000003</v>
      </c>
      <c r="AG38" s="124" t="s">
        <v>300</v>
      </c>
    </row>
    <row r="39" spans="1:33" ht="30" customHeight="1" x14ac:dyDescent="0.2">
      <c r="A39" s="121" t="s">
        <v>435</v>
      </c>
      <c r="B39">
        <v>0.73299999999999998</v>
      </c>
      <c r="F39">
        <v>18</v>
      </c>
      <c r="I39" s="123">
        <f t="shared" si="65"/>
        <v>0</v>
      </c>
      <c r="J39" s="123">
        <f t="shared" si="66"/>
        <v>0</v>
      </c>
      <c r="K39" s="126">
        <v>3000</v>
      </c>
      <c r="L39" s="126">
        <f t="shared" si="67"/>
        <v>375</v>
      </c>
      <c r="M39" s="123">
        <v>8</v>
      </c>
      <c r="N39" s="116">
        <v>7.85E-2</v>
      </c>
      <c r="O39" s="122">
        <v>2</v>
      </c>
      <c r="P39" s="117">
        <v>150000</v>
      </c>
      <c r="Q39" s="123">
        <v>10.11</v>
      </c>
      <c r="R39" s="116" t="s">
        <v>31</v>
      </c>
      <c r="S39" s="116">
        <v>0.5</v>
      </c>
      <c r="T39" s="116"/>
      <c r="U39" s="132">
        <v>8.6300000000000002E-2</v>
      </c>
      <c r="V39" s="132">
        <v>0.17101</v>
      </c>
      <c r="W39" s="131">
        <v>1.5642499999999999</v>
      </c>
      <c r="X39" s="131">
        <v>0.78946000000000005</v>
      </c>
      <c r="Y39" s="124">
        <f t="shared" ref="Y39:Y42" si="68">SQRT(9.81/N39)</f>
        <v>11.178915549651588</v>
      </c>
      <c r="Z39" s="126">
        <f t="shared" ref="Z39:Z42" si="69">2*PI()/N39</f>
        <v>80.040577161523387</v>
      </c>
      <c r="AA39" s="123">
        <f t="shared" ref="AA39:AA42" si="70">Z39/(M39)</f>
        <v>10.005072145190423</v>
      </c>
      <c r="AB39" s="123">
        <f t="shared" ref="AB39:AB42" si="71">Y39/B39</f>
        <v>15.250907980425087</v>
      </c>
      <c r="AC39" s="123" t="e">
        <f t="shared" ref="AC39:AC42" si="72">Y39/C39</f>
        <v>#DIV/0!</v>
      </c>
      <c r="AD39" s="123" t="e">
        <f t="shared" ref="AD39:AD42" si="73">Y39/D39</f>
        <v>#DIV/0!</v>
      </c>
      <c r="AE39" s="124">
        <f t="shared" ref="AE39:AE42" si="74">N39*O39</f>
        <v>0.157</v>
      </c>
      <c r="AF39" s="156">
        <v>0.95960000000000001</v>
      </c>
      <c r="AG39" s="124" t="s">
        <v>300</v>
      </c>
    </row>
    <row r="40" spans="1:33" ht="30" customHeight="1" x14ac:dyDescent="0.2">
      <c r="A40" s="121" t="s">
        <v>436</v>
      </c>
      <c r="B40">
        <v>0.67900000000000005</v>
      </c>
      <c r="F40">
        <v>18</v>
      </c>
      <c r="I40" s="123">
        <f t="shared" si="65"/>
        <v>0</v>
      </c>
      <c r="J40" s="123">
        <f t="shared" si="66"/>
        <v>0</v>
      </c>
      <c r="K40" s="126">
        <v>3000</v>
      </c>
      <c r="L40" s="126">
        <f t="shared" si="67"/>
        <v>375</v>
      </c>
      <c r="M40" s="123">
        <v>8</v>
      </c>
      <c r="N40" s="116">
        <v>7.85E-2</v>
      </c>
      <c r="O40" s="122">
        <v>2</v>
      </c>
      <c r="P40" s="117">
        <v>375100</v>
      </c>
      <c r="Q40" s="123">
        <v>4.04</v>
      </c>
      <c r="R40" s="116" t="s">
        <v>31</v>
      </c>
      <c r="S40" s="116">
        <v>0.5</v>
      </c>
      <c r="T40" s="116"/>
      <c r="U40" s="132">
        <v>6.3769999999999993E-2</v>
      </c>
      <c r="V40" s="132">
        <v>0.12636</v>
      </c>
      <c r="W40" s="131">
        <v>1.5642499999999999</v>
      </c>
      <c r="X40" s="131">
        <v>0.78947000000000001</v>
      </c>
      <c r="Y40" s="124">
        <f t="shared" si="68"/>
        <v>11.178915549651588</v>
      </c>
      <c r="Z40" s="126">
        <f t="shared" si="69"/>
        <v>80.040577161523387</v>
      </c>
      <c r="AA40" s="123">
        <f t="shared" si="70"/>
        <v>10.005072145190423</v>
      </c>
      <c r="AB40" s="123">
        <f t="shared" si="71"/>
        <v>16.463793151180543</v>
      </c>
      <c r="AC40" s="123" t="e">
        <f t="shared" si="72"/>
        <v>#DIV/0!</v>
      </c>
      <c r="AD40" s="123" t="e">
        <f t="shared" si="73"/>
        <v>#DIV/0!</v>
      </c>
      <c r="AE40" s="124">
        <f t="shared" si="74"/>
        <v>0.157</v>
      </c>
      <c r="AF40" s="156">
        <v>0.95960000000000001</v>
      </c>
      <c r="AG40" s="124" t="s">
        <v>300</v>
      </c>
    </row>
    <row r="41" spans="1:33" ht="30" customHeight="1" x14ac:dyDescent="0.2">
      <c r="A41" s="121" t="s">
        <v>437</v>
      </c>
      <c r="B41">
        <v>0.72699999999999998</v>
      </c>
      <c r="F41" s="116">
        <v>18</v>
      </c>
      <c r="G41" s="116"/>
      <c r="H41" s="127"/>
      <c r="I41" s="123">
        <f t="shared" si="65"/>
        <v>0</v>
      </c>
      <c r="J41" s="123">
        <f t="shared" si="66"/>
        <v>0</v>
      </c>
      <c r="K41" s="126">
        <v>3000</v>
      </c>
      <c r="L41" s="126">
        <f t="shared" si="67"/>
        <v>375</v>
      </c>
      <c r="M41" s="123">
        <v>8</v>
      </c>
      <c r="N41" s="116">
        <v>0.157</v>
      </c>
      <c r="O41" s="122">
        <v>1.2</v>
      </c>
      <c r="P41" s="117">
        <v>52090</v>
      </c>
      <c r="Q41" s="123">
        <v>10.292999999999999</v>
      </c>
      <c r="R41" s="116" t="s">
        <v>31</v>
      </c>
      <c r="S41" s="116">
        <v>0.5</v>
      </c>
      <c r="T41" s="116"/>
      <c r="U41" s="132">
        <v>7.8509999999999996E-2</v>
      </c>
      <c r="V41" s="132">
        <v>0.15659000000000001</v>
      </c>
      <c r="W41" s="131">
        <v>1.56196</v>
      </c>
      <c r="X41" s="131">
        <v>0.78481999999999996</v>
      </c>
      <c r="Y41" s="124">
        <f t="shared" si="68"/>
        <v>7.9046869914703786</v>
      </c>
      <c r="Z41" s="126">
        <f t="shared" si="69"/>
        <v>40.020288580761694</v>
      </c>
      <c r="AA41" s="123">
        <f t="shared" si="70"/>
        <v>5.0025360725952117</v>
      </c>
      <c r="AB41" s="123">
        <f t="shared" si="71"/>
        <v>10.873021996520466</v>
      </c>
      <c r="AC41" s="123" t="e">
        <f t="shared" si="72"/>
        <v>#DIV/0!</v>
      </c>
      <c r="AD41" s="123" t="e">
        <f t="shared" si="73"/>
        <v>#DIV/0!</v>
      </c>
      <c r="AE41" s="124">
        <f t="shared" si="74"/>
        <v>0.18839999999999998</v>
      </c>
      <c r="AF41" s="131">
        <v>0.98560000000000003</v>
      </c>
      <c r="AG41" s="124" t="s">
        <v>300</v>
      </c>
    </row>
    <row r="42" spans="1:33" ht="30" customHeight="1" x14ac:dyDescent="0.2">
      <c r="A42" s="121" t="s">
        <v>438</v>
      </c>
      <c r="B42">
        <v>0.7</v>
      </c>
      <c r="F42" s="116">
        <v>18</v>
      </c>
      <c r="G42" s="116"/>
      <c r="H42" s="127"/>
      <c r="I42" s="123">
        <f t="shared" si="65"/>
        <v>0</v>
      </c>
      <c r="J42" s="123">
        <f t="shared" si="66"/>
        <v>0</v>
      </c>
      <c r="K42" s="126">
        <v>3000</v>
      </c>
      <c r="L42" s="126">
        <f t="shared" si="67"/>
        <v>375</v>
      </c>
      <c r="M42" s="123">
        <v>8</v>
      </c>
      <c r="N42" s="116">
        <v>0.157</v>
      </c>
      <c r="O42" s="122">
        <v>1.2</v>
      </c>
      <c r="P42" s="117">
        <v>107600</v>
      </c>
      <c r="Q42" s="123">
        <v>4.9800000000000004</v>
      </c>
      <c r="R42" s="116" t="s">
        <v>31</v>
      </c>
      <c r="S42" s="116">
        <v>0.5</v>
      </c>
      <c r="T42" s="116"/>
      <c r="U42" s="132">
        <v>7.5870000000000007E-2</v>
      </c>
      <c r="V42" s="132">
        <v>0.14629</v>
      </c>
      <c r="W42" s="131">
        <v>1.5738799999999999</v>
      </c>
      <c r="X42" s="131">
        <v>0.80925000000000002</v>
      </c>
      <c r="Y42" s="124">
        <f t="shared" si="68"/>
        <v>7.9046869914703786</v>
      </c>
      <c r="Z42" s="126">
        <f t="shared" si="69"/>
        <v>40.020288580761694</v>
      </c>
      <c r="AA42" s="123">
        <f t="shared" si="70"/>
        <v>5.0025360725952117</v>
      </c>
      <c r="AB42" s="123">
        <f t="shared" si="71"/>
        <v>11.292409987814827</v>
      </c>
      <c r="AC42" s="123" t="e">
        <f t="shared" si="72"/>
        <v>#DIV/0!</v>
      </c>
      <c r="AD42" s="123" t="e">
        <f t="shared" si="73"/>
        <v>#DIV/0!</v>
      </c>
      <c r="AE42" s="124">
        <f t="shared" si="74"/>
        <v>0.18839999999999998</v>
      </c>
      <c r="AF42" s="131">
        <v>0.98560000000000003</v>
      </c>
      <c r="AG42" s="124" t="s">
        <v>300</v>
      </c>
    </row>
    <row r="43" spans="1:33" ht="30" customHeight="1" x14ac:dyDescent="0.2">
      <c r="A43" s="121" t="s">
        <v>440</v>
      </c>
      <c r="B43">
        <v>0.72499999999999998</v>
      </c>
      <c r="F43">
        <v>24</v>
      </c>
      <c r="I43" s="123">
        <f t="shared" si="65"/>
        <v>0</v>
      </c>
      <c r="J43" s="123">
        <f t="shared" si="66"/>
        <v>0</v>
      </c>
      <c r="K43" s="126">
        <v>3000</v>
      </c>
      <c r="L43" s="126">
        <f t="shared" si="67"/>
        <v>375</v>
      </c>
      <c r="M43" s="123">
        <v>8</v>
      </c>
      <c r="N43" s="116">
        <v>7.85E-2</v>
      </c>
      <c r="O43" s="122">
        <v>0.4</v>
      </c>
      <c r="P43" s="127">
        <v>3750000</v>
      </c>
      <c r="Q43" s="123">
        <v>0.4</v>
      </c>
      <c r="R43" s="116" t="s">
        <v>31</v>
      </c>
      <c r="S43" s="116">
        <v>0.5</v>
      </c>
      <c r="T43" s="116"/>
      <c r="U43" s="132">
        <v>2.9760000000000002E-2</v>
      </c>
      <c r="V43" s="132">
        <v>5.8959999999999999E-2</v>
      </c>
      <c r="W43" s="131">
        <v>1.5643</v>
      </c>
      <c r="X43" s="131">
        <v>0.78954999999999997</v>
      </c>
      <c r="Y43" s="124">
        <f>SQRT(9.81/N43)</f>
        <v>11.178915549651588</v>
      </c>
      <c r="Z43" s="126">
        <f>2*PI()/N43</f>
        <v>80.040577161523387</v>
      </c>
      <c r="AA43" s="123">
        <f>Z43/(M43)</f>
        <v>10.005072145190423</v>
      </c>
      <c r="AB43" s="123">
        <f>Y43/B43</f>
        <v>15.419193861588399</v>
      </c>
      <c r="AC43" s="123" t="e">
        <f>Y43/C43</f>
        <v>#DIV/0!</v>
      </c>
      <c r="AD43" s="123" t="e">
        <f>Y43/D43</f>
        <v>#DIV/0!</v>
      </c>
      <c r="AE43" s="124">
        <f>N43*O43</f>
        <v>3.1400000000000004E-2</v>
      </c>
      <c r="AF43" s="156">
        <v>0.95960000000000001</v>
      </c>
      <c r="AG43" s="124" t="s">
        <v>300</v>
      </c>
    </row>
    <row r="44" spans="1:33" ht="30" customHeight="1" x14ac:dyDescent="0.2">
      <c r="A44" s="121" t="s">
        <v>441</v>
      </c>
      <c r="B44">
        <v>0.61899999999999999</v>
      </c>
      <c r="F44">
        <v>24</v>
      </c>
      <c r="I44" s="123">
        <f t="shared" si="65"/>
        <v>0</v>
      </c>
      <c r="J44" s="123">
        <f t="shared" si="66"/>
        <v>0</v>
      </c>
      <c r="K44" s="126">
        <v>3000</v>
      </c>
      <c r="L44" s="126">
        <f t="shared" si="67"/>
        <v>375</v>
      </c>
      <c r="M44" s="123">
        <v>8</v>
      </c>
      <c r="N44" s="116">
        <v>7.85E-2</v>
      </c>
      <c r="O44" s="122">
        <v>0.4</v>
      </c>
      <c r="P44" s="127">
        <v>49360000</v>
      </c>
      <c r="Q44" s="123">
        <v>0.03</v>
      </c>
      <c r="R44" s="116" t="s">
        <v>31</v>
      </c>
      <c r="S44" s="116">
        <v>0.5</v>
      </c>
      <c r="T44" s="116"/>
      <c r="U44" s="132">
        <v>1.268E-2</v>
      </c>
      <c r="V44" s="132">
        <v>2.511E-2</v>
      </c>
      <c r="W44" s="131">
        <v>1.5643499999999999</v>
      </c>
      <c r="X44" s="131">
        <v>0.78966999999999998</v>
      </c>
      <c r="Y44" s="124">
        <f>SQRT(9.81/N44)</f>
        <v>11.178915549651588</v>
      </c>
      <c r="Z44" s="126">
        <f>2*PI()/N44</f>
        <v>80.040577161523387</v>
      </c>
      <c r="AA44" s="123">
        <f>Z44/(M44)</f>
        <v>10.005072145190423</v>
      </c>
      <c r="AB44" s="123">
        <f>Y44/B44</f>
        <v>18.059637398467832</v>
      </c>
      <c r="AC44" s="123" t="e">
        <f>Y44/C44</f>
        <v>#DIV/0!</v>
      </c>
      <c r="AD44" s="123" t="e">
        <f>Y44/D44</f>
        <v>#DIV/0!</v>
      </c>
      <c r="AE44" s="124">
        <f>N44*O44</f>
        <v>3.1400000000000004E-2</v>
      </c>
      <c r="AF44" s="156">
        <v>0.95960000000000001</v>
      </c>
      <c r="AG44" s="124" t="s">
        <v>300</v>
      </c>
    </row>
    <row r="45" spans="1:33" ht="30" customHeight="1" x14ac:dyDescent="0.2">
      <c r="A45" s="121" t="s">
        <v>442</v>
      </c>
      <c r="B45">
        <v>0.82</v>
      </c>
      <c r="F45">
        <v>24</v>
      </c>
      <c r="I45" s="123">
        <f t="shared" si="65"/>
        <v>0</v>
      </c>
      <c r="J45" s="123">
        <f t="shared" si="66"/>
        <v>0</v>
      </c>
      <c r="K45" s="126">
        <v>3000</v>
      </c>
      <c r="L45" s="126">
        <f t="shared" si="67"/>
        <v>375</v>
      </c>
      <c r="M45" s="123">
        <v>8</v>
      </c>
      <c r="N45" s="116">
        <v>3.9300000000000002E-2</v>
      </c>
      <c r="O45" s="122">
        <v>1.2</v>
      </c>
      <c r="P45" s="127">
        <v>3321000</v>
      </c>
      <c r="Q45" s="123">
        <v>1.29</v>
      </c>
      <c r="R45" s="116" t="s">
        <v>31</v>
      </c>
      <c r="S45" s="116">
        <v>0.5</v>
      </c>
      <c r="T45" s="116"/>
      <c r="U45" s="132">
        <v>3.9120000000000002E-2</v>
      </c>
      <c r="V45" s="132">
        <v>7.8049999999999994E-2</v>
      </c>
      <c r="W45" s="131">
        <v>1.5618399999999999</v>
      </c>
      <c r="X45" s="131">
        <v>0.78456999999999999</v>
      </c>
      <c r="Y45" s="124">
        <f>SQRT(9.81/N45)</f>
        <v>15.799313928480787</v>
      </c>
      <c r="Z45" s="126">
        <f>2*PI()/N45</f>
        <v>159.87748873230498</v>
      </c>
      <c r="AA45" s="123">
        <f>Z45/(M45)</f>
        <v>19.984686091538123</v>
      </c>
      <c r="AB45" s="123">
        <f>Y45/B45</f>
        <v>19.267456010342425</v>
      </c>
      <c r="AC45" s="123" t="e">
        <f>Y45/C45</f>
        <v>#DIV/0!</v>
      </c>
      <c r="AD45" s="123" t="e">
        <f>Y45/D45</f>
        <v>#DIV/0!</v>
      </c>
      <c r="AE45" s="124">
        <f>N45*O45</f>
        <v>4.7160000000000001E-2</v>
      </c>
      <c r="AF45" s="131">
        <v>0.98560000000000003</v>
      </c>
      <c r="AG45" s="124" t="s">
        <v>300</v>
      </c>
    </row>
    <row r="46" spans="1:33" ht="30" customHeight="1" x14ac:dyDescent="0.2">
      <c r="A46" s="121" t="s">
        <v>443</v>
      </c>
      <c r="B46">
        <v>0.65</v>
      </c>
      <c r="F46">
        <v>24</v>
      </c>
      <c r="I46" s="123">
        <f t="shared" ref="I46:I58" si="75">E46/B46</f>
        <v>0</v>
      </c>
      <c r="J46" s="123">
        <f t="shared" ref="J46:J58" si="76">G46*B46/600</f>
        <v>0</v>
      </c>
      <c r="K46" s="126">
        <v>3000</v>
      </c>
      <c r="L46" s="126">
        <f t="shared" ref="L46:L58" si="77">INT(K46/M46)</f>
        <v>375</v>
      </c>
      <c r="M46" s="123">
        <v>8</v>
      </c>
      <c r="N46" s="116">
        <v>3.9300000000000002E-2</v>
      </c>
      <c r="O46" s="122">
        <v>1.2</v>
      </c>
      <c r="P46" s="127">
        <v>28590000</v>
      </c>
      <c r="Q46" s="123">
        <v>0.15</v>
      </c>
      <c r="R46" s="116" t="s">
        <v>31</v>
      </c>
      <c r="S46" s="116">
        <v>0.5</v>
      </c>
      <c r="T46" s="116"/>
      <c r="U46" s="132">
        <v>1.9230000000000001E-2</v>
      </c>
      <c r="V46" s="132">
        <v>3.8370000000000001E-2</v>
      </c>
      <c r="W46" s="131">
        <v>1.5618399999999999</v>
      </c>
      <c r="X46" s="131">
        <v>0.78456999999999999</v>
      </c>
      <c r="Y46" s="124">
        <f>SQRT(9.81/N46)</f>
        <v>15.799313928480787</v>
      </c>
      <c r="Z46" s="126">
        <f>2*PI()/N46</f>
        <v>159.87748873230498</v>
      </c>
      <c r="AA46" s="123">
        <f>Z46/(M46)</f>
        <v>19.984686091538123</v>
      </c>
      <c r="AB46" s="123">
        <f>Y46/B46</f>
        <v>24.306636813047366</v>
      </c>
      <c r="AC46" s="123" t="e">
        <f>Y46/C46</f>
        <v>#DIV/0!</v>
      </c>
      <c r="AD46" s="123" t="e">
        <f>Y46/D46</f>
        <v>#DIV/0!</v>
      </c>
      <c r="AE46" s="124">
        <f>N46*O46</f>
        <v>4.7160000000000001E-2</v>
      </c>
      <c r="AF46" s="131">
        <v>0.98560000000000003</v>
      </c>
      <c r="AG46" s="124" t="s">
        <v>300</v>
      </c>
    </row>
    <row r="47" spans="1:33" ht="30" customHeight="1" x14ac:dyDescent="0.2">
      <c r="A47" s="121" t="s">
        <v>444</v>
      </c>
      <c r="B47">
        <v>0.91700000000000004</v>
      </c>
      <c r="F47">
        <v>24</v>
      </c>
      <c r="I47" s="123">
        <f t="shared" si="75"/>
        <v>0</v>
      </c>
      <c r="J47" s="123">
        <f t="shared" si="76"/>
        <v>0</v>
      </c>
      <c r="K47" s="126">
        <v>3000</v>
      </c>
      <c r="L47" s="126">
        <f t="shared" si="77"/>
        <v>375</v>
      </c>
      <c r="M47" s="123">
        <v>8</v>
      </c>
      <c r="N47" s="116">
        <v>7.85E-2</v>
      </c>
      <c r="O47" s="122">
        <v>2</v>
      </c>
      <c r="P47" s="117">
        <v>150000</v>
      </c>
      <c r="Q47" s="123">
        <v>10.11</v>
      </c>
      <c r="R47" s="116" t="s">
        <v>31</v>
      </c>
      <c r="S47" s="116">
        <v>0.5</v>
      </c>
      <c r="T47" s="116"/>
      <c r="U47" s="132">
        <v>8.6300000000000002E-2</v>
      </c>
      <c r="V47" s="132">
        <v>0.17101</v>
      </c>
      <c r="W47" s="131">
        <v>1.5642499999999999</v>
      </c>
      <c r="X47" s="131">
        <v>0.78946000000000005</v>
      </c>
      <c r="Y47" s="124">
        <f t="shared" ref="Y47:Y50" si="78">SQRT(9.81/N47)</f>
        <v>11.178915549651588</v>
      </c>
      <c r="Z47" s="126">
        <f t="shared" ref="Z47:Z50" si="79">2*PI()/N47</f>
        <v>80.040577161523387</v>
      </c>
      <c r="AA47" s="123">
        <f t="shared" ref="AA47:AA50" si="80">Z47/(M47)</f>
        <v>10.005072145190423</v>
      </c>
      <c r="AB47" s="123">
        <f t="shared" ref="AB47:AB50" si="81">Y47/B47</f>
        <v>12.190747600492463</v>
      </c>
      <c r="AC47" s="123" t="e">
        <f t="shared" ref="AC47:AC50" si="82">Y47/C47</f>
        <v>#DIV/0!</v>
      </c>
      <c r="AD47" s="123" t="e">
        <f t="shared" ref="AD47:AD50" si="83">Y47/D47</f>
        <v>#DIV/0!</v>
      </c>
      <c r="AE47" s="124">
        <f t="shared" ref="AE47:AE50" si="84">N47*O47</f>
        <v>0.157</v>
      </c>
      <c r="AF47" s="156">
        <v>0.95960000000000001</v>
      </c>
      <c r="AG47" s="124" t="s">
        <v>300</v>
      </c>
    </row>
    <row r="48" spans="1:33" ht="30" customHeight="1" x14ac:dyDescent="0.2">
      <c r="A48" s="121" t="s">
        <v>445</v>
      </c>
      <c r="B48">
        <v>0.92700000000000005</v>
      </c>
      <c r="F48">
        <v>24</v>
      </c>
      <c r="I48" s="123">
        <f t="shared" si="75"/>
        <v>0</v>
      </c>
      <c r="J48" s="123">
        <f t="shared" si="76"/>
        <v>0</v>
      </c>
      <c r="K48" s="126">
        <v>3000</v>
      </c>
      <c r="L48" s="126">
        <f t="shared" si="77"/>
        <v>375</v>
      </c>
      <c r="M48" s="123">
        <v>8</v>
      </c>
      <c r="N48" s="116">
        <v>7.85E-2</v>
      </c>
      <c r="O48" s="122">
        <v>2</v>
      </c>
      <c r="P48" s="117">
        <v>375100</v>
      </c>
      <c r="Q48" s="123">
        <v>4.04</v>
      </c>
      <c r="R48" s="116" t="s">
        <v>31</v>
      </c>
      <c r="S48" s="116">
        <v>0.5</v>
      </c>
      <c r="T48" s="116"/>
      <c r="U48" s="132">
        <v>6.3769999999999993E-2</v>
      </c>
      <c r="V48" s="132">
        <v>0.12636</v>
      </c>
      <c r="W48" s="131">
        <v>1.5642499999999999</v>
      </c>
      <c r="X48" s="131">
        <v>0.78947000000000001</v>
      </c>
      <c r="Y48" s="124">
        <f t="shared" si="78"/>
        <v>11.178915549651588</v>
      </c>
      <c r="Z48" s="126">
        <f t="shared" si="79"/>
        <v>80.040577161523387</v>
      </c>
      <c r="AA48" s="123">
        <f t="shared" si="80"/>
        <v>10.005072145190423</v>
      </c>
      <c r="AB48" s="123">
        <f t="shared" si="81"/>
        <v>12.059240075136556</v>
      </c>
      <c r="AC48" s="123" t="e">
        <f t="shared" si="82"/>
        <v>#DIV/0!</v>
      </c>
      <c r="AD48" s="123" t="e">
        <f t="shared" si="83"/>
        <v>#DIV/0!</v>
      </c>
      <c r="AE48" s="124">
        <f t="shared" si="84"/>
        <v>0.157</v>
      </c>
      <c r="AF48" s="156">
        <v>0.95960000000000001</v>
      </c>
      <c r="AG48" s="124" t="s">
        <v>300</v>
      </c>
    </row>
    <row r="49" spans="1:33" ht="30" customHeight="1" x14ac:dyDescent="0.2">
      <c r="A49" s="121" t="s">
        <v>446</v>
      </c>
      <c r="B49">
        <v>0.96099999999999997</v>
      </c>
      <c r="F49">
        <v>24</v>
      </c>
      <c r="G49" s="116"/>
      <c r="H49" s="127"/>
      <c r="I49" s="123">
        <f t="shared" si="75"/>
        <v>0</v>
      </c>
      <c r="J49" s="123">
        <f t="shared" si="76"/>
        <v>0</v>
      </c>
      <c r="K49" s="126">
        <v>3000</v>
      </c>
      <c r="L49" s="126">
        <f t="shared" si="77"/>
        <v>375</v>
      </c>
      <c r="M49" s="123">
        <v>8</v>
      </c>
      <c r="N49" s="116">
        <v>0.157</v>
      </c>
      <c r="O49" s="122">
        <v>1.2</v>
      </c>
      <c r="P49" s="117">
        <v>52090</v>
      </c>
      <c r="Q49" s="123">
        <v>10.292999999999999</v>
      </c>
      <c r="R49" s="116" t="s">
        <v>439</v>
      </c>
      <c r="S49" s="116">
        <v>0.5</v>
      </c>
      <c r="T49" s="116"/>
      <c r="U49" s="132">
        <v>7.8509999999999996E-2</v>
      </c>
      <c r="V49" s="132">
        <v>0.15659000000000001</v>
      </c>
      <c r="W49" s="131">
        <v>1.56196</v>
      </c>
      <c r="X49" s="131">
        <v>0.78481999999999996</v>
      </c>
      <c r="Y49" s="124">
        <f t="shared" si="78"/>
        <v>7.9046869914703786</v>
      </c>
      <c r="Z49" s="126">
        <f t="shared" si="79"/>
        <v>40.020288580761694</v>
      </c>
      <c r="AA49" s="123">
        <f t="shared" si="80"/>
        <v>5.0025360725952117</v>
      </c>
      <c r="AB49" s="123">
        <f t="shared" si="81"/>
        <v>8.2254807403437873</v>
      </c>
      <c r="AC49" s="123" t="e">
        <f t="shared" si="82"/>
        <v>#DIV/0!</v>
      </c>
      <c r="AD49" s="123" t="e">
        <f t="shared" si="83"/>
        <v>#DIV/0!</v>
      </c>
      <c r="AE49" s="124">
        <f t="shared" si="84"/>
        <v>0.18839999999999998</v>
      </c>
      <c r="AF49" s="131">
        <v>0.98560000000000003</v>
      </c>
      <c r="AG49" s="124" t="s">
        <v>300</v>
      </c>
    </row>
    <row r="50" spans="1:33" ht="30" customHeight="1" x14ac:dyDescent="0.2">
      <c r="A50" s="121" t="s">
        <v>447</v>
      </c>
      <c r="B50">
        <v>0.96099999999999997</v>
      </c>
      <c r="F50">
        <v>24</v>
      </c>
      <c r="G50" s="116"/>
      <c r="H50" s="127"/>
      <c r="I50" s="123">
        <f t="shared" si="75"/>
        <v>0</v>
      </c>
      <c r="J50" s="123">
        <f t="shared" si="76"/>
        <v>0</v>
      </c>
      <c r="K50" s="126">
        <v>3000</v>
      </c>
      <c r="L50" s="126">
        <f t="shared" si="77"/>
        <v>375</v>
      </c>
      <c r="M50" s="123">
        <v>8</v>
      </c>
      <c r="N50" s="116">
        <v>0.157</v>
      </c>
      <c r="O50" s="122">
        <v>1.2</v>
      </c>
      <c r="P50" s="117">
        <v>107600</v>
      </c>
      <c r="Q50" s="123">
        <v>4.9800000000000004</v>
      </c>
      <c r="R50" s="116" t="s">
        <v>31</v>
      </c>
      <c r="S50" s="116">
        <v>0.5</v>
      </c>
      <c r="T50" s="116"/>
      <c r="U50" s="132">
        <v>7.5870000000000007E-2</v>
      </c>
      <c r="V50" s="132">
        <v>0.14629</v>
      </c>
      <c r="W50" s="131">
        <v>1.5738799999999999</v>
      </c>
      <c r="X50" s="131">
        <v>0.80925000000000002</v>
      </c>
      <c r="Y50" s="124">
        <f t="shared" si="78"/>
        <v>7.9046869914703786</v>
      </c>
      <c r="Z50" s="126">
        <f t="shared" si="79"/>
        <v>40.020288580761694</v>
      </c>
      <c r="AA50" s="123">
        <f t="shared" si="80"/>
        <v>5.0025360725952117</v>
      </c>
      <c r="AB50" s="123">
        <f t="shared" si="81"/>
        <v>8.2254807403437873</v>
      </c>
      <c r="AC50" s="123" t="e">
        <f t="shared" si="82"/>
        <v>#DIV/0!</v>
      </c>
      <c r="AD50" s="123" t="e">
        <f t="shared" si="83"/>
        <v>#DIV/0!</v>
      </c>
      <c r="AE50" s="124">
        <f t="shared" si="84"/>
        <v>0.18839999999999998</v>
      </c>
      <c r="AF50" s="131">
        <v>0.98560000000000003</v>
      </c>
      <c r="AG50" s="124" t="s">
        <v>300</v>
      </c>
    </row>
    <row r="51" spans="1:33" ht="30" customHeight="1" x14ac:dyDescent="0.2">
      <c r="A51" s="121" t="s">
        <v>448</v>
      </c>
      <c r="B51">
        <v>0.34</v>
      </c>
      <c r="F51">
        <v>12</v>
      </c>
      <c r="I51" s="123">
        <f t="shared" si="75"/>
        <v>0</v>
      </c>
      <c r="J51" s="123">
        <f t="shared" si="76"/>
        <v>0</v>
      </c>
      <c r="K51" s="126">
        <v>3000</v>
      </c>
      <c r="L51" s="126">
        <f t="shared" si="77"/>
        <v>375</v>
      </c>
      <c r="M51" s="123">
        <v>8</v>
      </c>
      <c r="N51" s="116">
        <v>7.85E-2</v>
      </c>
      <c r="O51" s="122">
        <v>0.4</v>
      </c>
      <c r="P51" s="127">
        <v>3750000</v>
      </c>
      <c r="Q51" s="123">
        <v>0.4</v>
      </c>
      <c r="R51" s="116" t="s">
        <v>31</v>
      </c>
      <c r="S51" s="116">
        <v>0.5</v>
      </c>
      <c r="T51" s="116"/>
      <c r="U51" s="132">
        <v>2.9760000000000002E-2</v>
      </c>
      <c r="V51" s="132">
        <v>5.8959999999999999E-2</v>
      </c>
      <c r="W51" s="131">
        <v>1.5643</v>
      </c>
      <c r="X51" s="131">
        <v>0.78954999999999997</v>
      </c>
      <c r="Y51" s="124">
        <f>SQRT(9.81/N51)</f>
        <v>11.178915549651588</v>
      </c>
      <c r="Z51" s="126">
        <f>2*PI()/N51</f>
        <v>80.040577161523387</v>
      </c>
      <c r="AA51" s="123">
        <f>Z51/(M51)</f>
        <v>10.005072145190423</v>
      </c>
      <c r="AB51" s="123">
        <f>Y51/B51</f>
        <v>32.879163381328198</v>
      </c>
      <c r="AC51" s="123" t="e">
        <f>Y51/C51</f>
        <v>#DIV/0!</v>
      </c>
      <c r="AD51" s="123" t="e">
        <f>Y51/D51</f>
        <v>#DIV/0!</v>
      </c>
      <c r="AE51" s="124">
        <f>N51*O51</f>
        <v>3.1400000000000004E-2</v>
      </c>
      <c r="AF51" s="156">
        <v>0.95960000000000001</v>
      </c>
      <c r="AG51" s="124" t="s">
        <v>300</v>
      </c>
    </row>
    <row r="52" spans="1:33" ht="30" customHeight="1" x14ac:dyDescent="0.2">
      <c r="A52" s="121" t="s">
        <v>449</v>
      </c>
      <c r="B52">
        <v>0.309</v>
      </c>
      <c r="F52">
        <v>12</v>
      </c>
      <c r="I52" s="123">
        <f t="shared" si="75"/>
        <v>0</v>
      </c>
      <c r="J52" s="123">
        <f t="shared" si="76"/>
        <v>0</v>
      </c>
      <c r="K52" s="126">
        <v>3000</v>
      </c>
      <c r="L52" s="126">
        <f t="shared" si="77"/>
        <v>375</v>
      </c>
      <c r="M52" s="123">
        <v>8</v>
      </c>
      <c r="N52" s="116">
        <v>7.85E-2</v>
      </c>
      <c r="O52" s="122">
        <v>0.4</v>
      </c>
      <c r="P52" s="127">
        <v>49360000</v>
      </c>
      <c r="Q52" s="123">
        <v>0.03</v>
      </c>
      <c r="R52" s="116" t="s">
        <v>31</v>
      </c>
      <c r="S52" s="116">
        <v>0.5</v>
      </c>
      <c r="T52" s="116"/>
      <c r="U52" s="132">
        <v>1.268E-2</v>
      </c>
      <c r="V52" s="132">
        <v>2.511E-2</v>
      </c>
      <c r="W52" s="131">
        <v>1.5643499999999999</v>
      </c>
      <c r="X52" s="131">
        <v>0.78966999999999998</v>
      </c>
      <c r="Y52" s="124">
        <f>SQRT(9.81/N52)</f>
        <v>11.178915549651588</v>
      </c>
      <c r="Z52" s="126">
        <f>2*PI()/N52</f>
        <v>80.040577161523387</v>
      </c>
      <c r="AA52" s="123">
        <f>Z52/(M52)</f>
        <v>10.005072145190423</v>
      </c>
      <c r="AB52" s="123">
        <f>Y52/B52</f>
        <v>36.177720225409672</v>
      </c>
      <c r="AC52" s="123" t="e">
        <f>Y52/C52</f>
        <v>#DIV/0!</v>
      </c>
      <c r="AD52" s="123" t="e">
        <f>Y52/D52</f>
        <v>#DIV/0!</v>
      </c>
      <c r="AE52" s="124">
        <f>N52*O52</f>
        <v>3.1400000000000004E-2</v>
      </c>
      <c r="AF52" s="156">
        <v>0.95960000000000001</v>
      </c>
      <c r="AG52" s="124" t="s">
        <v>300</v>
      </c>
    </row>
    <row r="53" spans="1:33" ht="30" customHeight="1" x14ac:dyDescent="0.2">
      <c r="A53" s="121" t="s">
        <v>450</v>
      </c>
      <c r="B53">
        <v>0.375</v>
      </c>
      <c r="F53">
        <v>12</v>
      </c>
      <c r="I53" s="123">
        <f t="shared" si="75"/>
        <v>0</v>
      </c>
      <c r="J53" s="123">
        <f t="shared" si="76"/>
        <v>0</v>
      </c>
      <c r="K53" s="126">
        <v>3000</v>
      </c>
      <c r="L53" s="126">
        <f t="shared" si="77"/>
        <v>375</v>
      </c>
      <c r="M53" s="123">
        <v>8</v>
      </c>
      <c r="N53" s="116">
        <v>3.9300000000000002E-2</v>
      </c>
      <c r="O53" s="122">
        <v>1.2</v>
      </c>
      <c r="P53" s="127">
        <v>3321000</v>
      </c>
      <c r="Q53" s="123">
        <v>1.29</v>
      </c>
      <c r="R53" s="116" t="s">
        <v>31</v>
      </c>
      <c r="S53" s="116">
        <v>0.5</v>
      </c>
      <c r="T53" s="116"/>
      <c r="U53" s="132">
        <v>3.9120000000000002E-2</v>
      </c>
      <c r="V53" s="132">
        <v>7.8049999999999994E-2</v>
      </c>
      <c r="W53" s="131">
        <v>1.5618399999999999</v>
      </c>
      <c r="X53" s="131">
        <v>0.78456999999999999</v>
      </c>
      <c r="Y53" s="124">
        <f>SQRT(9.81/N53)</f>
        <v>15.799313928480787</v>
      </c>
      <c r="Z53" s="126">
        <f>2*PI()/N53</f>
        <v>159.87748873230498</v>
      </c>
      <c r="AA53" s="123">
        <f>Z53/(M53)</f>
        <v>19.984686091538123</v>
      </c>
      <c r="AB53" s="123">
        <f>Y53/B53</f>
        <v>42.131503809282101</v>
      </c>
      <c r="AC53" s="123" t="e">
        <f>Y53/C53</f>
        <v>#DIV/0!</v>
      </c>
      <c r="AD53" s="123" t="e">
        <f>Y53/D53</f>
        <v>#DIV/0!</v>
      </c>
      <c r="AE53" s="124">
        <f>N53*O53</f>
        <v>4.7160000000000001E-2</v>
      </c>
      <c r="AF53" s="131">
        <v>0.98560000000000003</v>
      </c>
      <c r="AG53" s="124" t="s">
        <v>300</v>
      </c>
    </row>
    <row r="54" spans="1:33" ht="30" customHeight="1" x14ac:dyDescent="0.2">
      <c r="A54" s="121" t="s">
        <v>451</v>
      </c>
      <c r="B54">
        <v>0.30299999999999999</v>
      </c>
      <c r="F54">
        <v>12</v>
      </c>
      <c r="I54" s="123">
        <f t="shared" si="75"/>
        <v>0</v>
      </c>
      <c r="J54" s="123">
        <f t="shared" si="76"/>
        <v>0</v>
      </c>
      <c r="K54" s="126">
        <v>3000</v>
      </c>
      <c r="L54" s="126">
        <f t="shared" si="77"/>
        <v>375</v>
      </c>
      <c r="M54" s="123">
        <v>8</v>
      </c>
      <c r="N54" s="116">
        <v>3.9300000000000002E-2</v>
      </c>
      <c r="O54" s="122">
        <v>1.2</v>
      </c>
      <c r="P54" s="127">
        <v>28590000</v>
      </c>
      <c r="Q54" s="123">
        <v>0.15</v>
      </c>
      <c r="R54" s="116" t="s">
        <v>31</v>
      </c>
      <c r="S54" s="116">
        <v>0.5</v>
      </c>
      <c r="T54" s="116"/>
      <c r="U54" s="132">
        <v>1.9230000000000001E-2</v>
      </c>
      <c r="V54" s="132">
        <v>3.8370000000000001E-2</v>
      </c>
      <c r="W54" s="131">
        <v>1.5618399999999999</v>
      </c>
      <c r="X54" s="131">
        <v>0.78456999999999999</v>
      </c>
      <c r="Y54" s="124">
        <f>SQRT(9.81/N54)</f>
        <v>15.799313928480787</v>
      </c>
      <c r="Z54" s="126">
        <f>2*PI()/N54</f>
        <v>159.87748873230498</v>
      </c>
      <c r="AA54" s="123">
        <f>Z54/(M54)</f>
        <v>19.984686091538123</v>
      </c>
      <c r="AB54" s="123">
        <f>Y54/B54</f>
        <v>52.142950259012501</v>
      </c>
      <c r="AC54" s="123" t="e">
        <f>Y54/C54</f>
        <v>#DIV/0!</v>
      </c>
      <c r="AD54" s="123" t="e">
        <f>Y54/D54</f>
        <v>#DIV/0!</v>
      </c>
      <c r="AE54" s="124">
        <f>N54*O54</f>
        <v>4.7160000000000001E-2</v>
      </c>
      <c r="AF54" s="131">
        <v>0.98560000000000003</v>
      </c>
      <c r="AG54" s="124" t="s">
        <v>300</v>
      </c>
    </row>
    <row r="55" spans="1:33" ht="30" customHeight="1" x14ac:dyDescent="0.2">
      <c r="A55" s="121" t="s">
        <v>452</v>
      </c>
      <c r="B55">
        <v>0.497</v>
      </c>
      <c r="F55">
        <v>12</v>
      </c>
      <c r="I55" s="123">
        <f t="shared" si="75"/>
        <v>0</v>
      </c>
      <c r="J55" s="123">
        <f t="shared" si="76"/>
        <v>0</v>
      </c>
      <c r="K55" s="126">
        <v>3000</v>
      </c>
      <c r="L55" s="126">
        <f t="shared" si="77"/>
        <v>375</v>
      </c>
      <c r="M55" s="123">
        <v>8</v>
      </c>
      <c r="N55" s="116">
        <v>7.85E-2</v>
      </c>
      <c r="O55" s="122">
        <v>2</v>
      </c>
      <c r="P55" s="117">
        <v>150000</v>
      </c>
      <c r="Q55" s="123">
        <v>10.11</v>
      </c>
      <c r="R55" s="116" t="s">
        <v>31</v>
      </c>
      <c r="S55" s="116">
        <v>0.5</v>
      </c>
      <c r="T55" s="116"/>
      <c r="U55" s="132">
        <v>8.6300000000000002E-2</v>
      </c>
      <c r="V55" s="132">
        <v>0.17101</v>
      </c>
      <c r="W55" s="131">
        <v>1.5642499999999999</v>
      </c>
      <c r="X55" s="131">
        <v>0.78946000000000005</v>
      </c>
      <c r="Y55" s="124">
        <f t="shared" ref="Y55:Y58" si="85">SQRT(9.81/N55)</f>
        <v>11.178915549651588</v>
      </c>
      <c r="Z55" s="126">
        <f t="shared" ref="Z55:Z58" si="86">2*PI()/N55</f>
        <v>80.040577161523387</v>
      </c>
      <c r="AA55" s="123">
        <f t="shared" ref="AA55:AA58" si="87">Z55/(M55)</f>
        <v>10.005072145190423</v>
      </c>
      <c r="AB55" s="123">
        <f t="shared" ref="AB55:AB58" si="88">Y55/B55</f>
        <v>22.492787826260741</v>
      </c>
      <c r="AC55" s="123" t="e">
        <f t="shared" ref="AC55:AC58" si="89">Y55/C55</f>
        <v>#DIV/0!</v>
      </c>
      <c r="AD55" s="123" t="e">
        <f t="shared" ref="AD55:AD58" si="90">Y55/D55</f>
        <v>#DIV/0!</v>
      </c>
      <c r="AE55" s="124">
        <f t="shared" ref="AE55:AE58" si="91">N55*O55</f>
        <v>0.157</v>
      </c>
      <c r="AF55" s="156">
        <v>0.95960000000000001</v>
      </c>
      <c r="AG55" s="124" t="s">
        <v>300</v>
      </c>
    </row>
    <row r="56" spans="1:33" ht="30" customHeight="1" x14ac:dyDescent="0.2">
      <c r="A56" s="121" t="s">
        <v>453</v>
      </c>
      <c r="B56">
        <v>0.45400000000000001</v>
      </c>
      <c r="F56">
        <v>12</v>
      </c>
      <c r="I56" s="123">
        <f t="shared" si="75"/>
        <v>0</v>
      </c>
      <c r="J56" s="123">
        <f t="shared" si="76"/>
        <v>0</v>
      </c>
      <c r="K56" s="126">
        <v>3000</v>
      </c>
      <c r="L56" s="126">
        <f t="shared" si="77"/>
        <v>375</v>
      </c>
      <c r="M56" s="123">
        <v>8</v>
      </c>
      <c r="N56" s="116">
        <v>7.85E-2</v>
      </c>
      <c r="O56" s="122">
        <v>2</v>
      </c>
      <c r="P56" s="117">
        <v>375100</v>
      </c>
      <c r="Q56" s="123">
        <v>4.04</v>
      </c>
      <c r="R56" s="116" t="s">
        <v>31</v>
      </c>
      <c r="S56" s="116">
        <v>0.5</v>
      </c>
      <c r="T56" s="116"/>
      <c r="U56" s="132">
        <v>6.3769999999999993E-2</v>
      </c>
      <c r="V56" s="132">
        <v>0.12636</v>
      </c>
      <c r="W56" s="131">
        <v>1.5642499999999999</v>
      </c>
      <c r="X56" s="131">
        <v>0.78947000000000001</v>
      </c>
      <c r="Y56" s="124">
        <f t="shared" si="85"/>
        <v>11.178915549651588</v>
      </c>
      <c r="Z56" s="126">
        <f t="shared" si="86"/>
        <v>80.040577161523387</v>
      </c>
      <c r="AA56" s="123">
        <f t="shared" si="87"/>
        <v>10.005072145190423</v>
      </c>
      <c r="AB56" s="123">
        <f t="shared" si="88"/>
        <v>24.623162003637859</v>
      </c>
      <c r="AC56" s="123" t="e">
        <f t="shared" si="89"/>
        <v>#DIV/0!</v>
      </c>
      <c r="AD56" s="123" t="e">
        <f t="shared" si="90"/>
        <v>#DIV/0!</v>
      </c>
      <c r="AE56" s="124">
        <f t="shared" si="91"/>
        <v>0.157</v>
      </c>
      <c r="AF56" s="156">
        <v>0.95960000000000001</v>
      </c>
      <c r="AG56" s="124" t="s">
        <v>300</v>
      </c>
    </row>
    <row r="57" spans="1:33" ht="30" customHeight="1" x14ac:dyDescent="0.2">
      <c r="A57" s="121" t="s">
        <v>454</v>
      </c>
      <c r="B57">
        <v>0.50600000000000001</v>
      </c>
      <c r="F57">
        <v>12</v>
      </c>
      <c r="G57" s="116"/>
      <c r="H57" s="127"/>
      <c r="I57" s="123">
        <f t="shared" si="75"/>
        <v>0</v>
      </c>
      <c r="J57" s="123">
        <f t="shared" si="76"/>
        <v>0</v>
      </c>
      <c r="K57" s="126">
        <v>3000</v>
      </c>
      <c r="L57" s="126">
        <f t="shared" si="77"/>
        <v>375</v>
      </c>
      <c r="M57" s="123">
        <v>8</v>
      </c>
      <c r="N57" s="116">
        <v>0.157</v>
      </c>
      <c r="O57" s="122">
        <v>1.2</v>
      </c>
      <c r="P57" s="117">
        <v>52090</v>
      </c>
      <c r="Q57" s="123">
        <v>10.292999999999999</v>
      </c>
      <c r="R57" s="116" t="s">
        <v>31</v>
      </c>
      <c r="S57" s="116">
        <v>0.5</v>
      </c>
      <c r="T57" s="116"/>
      <c r="U57" s="132">
        <v>7.8509999999999996E-2</v>
      </c>
      <c r="V57" s="132">
        <v>0.15659000000000001</v>
      </c>
      <c r="W57" s="131">
        <v>1.56196</v>
      </c>
      <c r="X57" s="131">
        <v>0.78481999999999996</v>
      </c>
      <c r="Y57" s="124">
        <f t="shared" si="85"/>
        <v>7.9046869914703786</v>
      </c>
      <c r="Z57" s="126">
        <f t="shared" si="86"/>
        <v>40.020288580761694</v>
      </c>
      <c r="AA57" s="123">
        <f t="shared" si="87"/>
        <v>5.0025360725952117</v>
      </c>
      <c r="AB57" s="123">
        <f t="shared" si="88"/>
        <v>15.621911050336717</v>
      </c>
      <c r="AC57" s="123" t="e">
        <f t="shared" si="89"/>
        <v>#DIV/0!</v>
      </c>
      <c r="AD57" s="123" t="e">
        <f t="shared" si="90"/>
        <v>#DIV/0!</v>
      </c>
      <c r="AE57" s="124">
        <f t="shared" si="91"/>
        <v>0.18839999999999998</v>
      </c>
      <c r="AF57" s="131">
        <v>0.98560000000000003</v>
      </c>
      <c r="AG57" s="124" t="s">
        <v>300</v>
      </c>
    </row>
    <row r="58" spans="1:33" ht="30" customHeight="1" x14ac:dyDescent="0.2">
      <c r="A58" s="121" t="s">
        <v>455</v>
      </c>
      <c r="B58">
        <v>0.45700000000000002</v>
      </c>
      <c r="F58">
        <v>12</v>
      </c>
      <c r="G58" s="116"/>
      <c r="H58" s="127"/>
      <c r="I58" s="123">
        <f t="shared" si="75"/>
        <v>0</v>
      </c>
      <c r="J58" s="123">
        <f t="shared" si="76"/>
        <v>0</v>
      </c>
      <c r="K58" s="126">
        <v>3000</v>
      </c>
      <c r="L58" s="126">
        <f t="shared" si="77"/>
        <v>375</v>
      </c>
      <c r="M58" s="123">
        <v>8</v>
      </c>
      <c r="N58" s="116">
        <v>0.157</v>
      </c>
      <c r="O58" s="122">
        <v>1.2</v>
      </c>
      <c r="P58" s="117">
        <v>107600</v>
      </c>
      <c r="Q58" s="123">
        <v>4.9800000000000004</v>
      </c>
      <c r="R58" s="116" t="s">
        <v>31</v>
      </c>
      <c r="S58" s="116">
        <v>0.5</v>
      </c>
      <c r="T58" s="116"/>
      <c r="U58" s="132">
        <v>7.5870000000000007E-2</v>
      </c>
      <c r="V58" s="132">
        <v>0.14629</v>
      </c>
      <c r="W58" s="131">
        <v>1.5738799999999999</v>
      </c>
      <c r="X58" s="131">
        <v>0.80925000000000002</v>
      </c>
      <c r="Y58" s="124">
        <f t="shared" si="85"/>
        <v>7.9046869914703786</v>
      </c>
      <c r="Z58" s="126">
        <f t="shared" si="86"/>
        <v>40.020288580761694</v>
      </c>
      <c r="AA58" s="123">
        <f t="shared" si="87"/>
        <v>5.0025360725952117</v>
      </c>
      <c r="AB58" s="123">
        <f t="shared" si="88"/>
        <v>17.296908077615708</v>
      </c>
      <c r="AC58" s="123" t="e">
        <f t="shared" si="89"/>
        <v>#DIV/0!</v>
      </c>
      <c r="AD58" s="123" t="e">
        <f t="shared" si="90"/>
        <v>#DIV/0!</v>
      </c>
      <c r="AE58" s="124">
        <f t="shared" si="91"/>
        <v>0.18839999999999998</v>
      </c>
      <c r="AF58" s="131">
        <v>0.98560000000000003</v>
      </c>
      <c r="AG58" s="124" t="s">
        <v>300</v>
      </c>
    </row>
    <row r="59" spans="1:33" x14ac:dyDescent="0.2">
      <c r="AG59" s="124"/>
    </row>
  </sheetData>
  <mergeCells count="2">
    <mergeCell ref="L1:O1"/>
    <mergeCell ref="AB1:AE1"/>
  </mergeCells>
  <conditionalFormatting sqref="R3:R58">
    <cfRule type="containsText" dxfId="11" priority="3" stopIfTrue="1" operator="containsText" text="bad">
      <formula>NOT(ISERROR(SEARCH("bad",R3)))</formula>
    </cfRule>
    <cfRule type="containsText" dxfId="10" priority="4" stopIfTrue="1" operator="containsText" text="error">
      <formula>NOT(ISERROR(SEARCH("error",R3)))</formula>
    </cfRule>
    <cfRule type="containsText" dxfId="9" priority="5" stopIfTrue="1" operator="containsText" text="running">
      <formula>NOT(ISERROR(SEARCH("running",R3)))</formula>
    </cfRule>
    <cfRule type="containsText" dxfId="8" priority="6" operator="containsText" text="done">
      <formula>NOT(ISERROR(SEARCH("done",R3)))</formula>
    </cfRule>
  </conditionalFormatting>
  <conditionalFormatting sqref="A1:A1048576">
    <cfRule type="expression" dxfId="6" priority="2">
      <formula>$R1="running st"</formula>
    </cfRule>
    <cfRule type="expression" dxfId="7" priority="1" stopIfTrue="1">
      <formula>$R1="running rmp"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6FC0-CCC3-414F-858B-C4AB489A1D8A}">
  <dimension ref="A1:AC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:XFD4"/>
    </sheetView>
  </sheetViews>
  <sheetFormatPr baseColWidth="10" defaultRowHeight="16" x14ac:dyDescent="0.2"/>
  <cols>
    <col min="1" max="1" width="23.6640625" customWidth="1"/>
    <col min="2" max="2" width="13.33203125" customWidth="1"/>
    <col min="3" max="9" width="10.83203125" customWidth="1"/>
    <col min="15" max="15" width="11.5" customWidth="1"/>
    <col min="16" max="20" width="10.83203125" customWidth="1"/>
    <col min="25" max="25" width="10.83203125" customWidth="1"/>
    <col min="27" max="27" width="11.33203125" customWidth="1"/>
  </cols>
  <sheetData>
    <row r="1" spans="1:29" x14ac:dyDescent="0.2">
      <c r="K1" s="174" t="s">
        <v>366</v>
      </c>
      <c r="L1" s="174"/>
      <c r="M1" s="174"/>
      <c r="N1" s="174"/>
      <c r="P1" s="176" t="s">
        <v>366</v>
      </c>
      <c r="Q1" s="176"/>
      <c r="R1" s="176"/>
      <c r="S1" s="176"/>
      <c r="T1" s="176"/>
    </row>
    <row r="2" spans="1:29" s="118" customFormat="1" ht="26" customHeight="1" thickBot="1" x14ac:dyDescent="0.25">
      <c r="A2" s="120" t="s">
        <v>226</v>
      </c>
      <c r="B2" s="118" t="s">
        <v>268</v>
      </c>
      <c r="C2" s="118" t="s">
        <v>284</v>
      </c>
      <c r="D2" s="118" t="s">
        <v>285</v>
      </c>
      <c r="E2" s="118" t="s">
        <v>286</v>
      </c>
      <c r="F2" s="118" t="s">
        <v>287</v>
      </c>
      <c r="G2" s="118" t="s">
        <v>274</v>
      </c>
      <c r="H2" s="118" t="s">
        <v>288</v>
      </c>
      <c r="I2" s="118" t="s">
        <v>289</v>
      </c>
      <c r="J2" s="118" t="s">
        <v>122</v>
      </c>
      <c r="K2" s="119" t="s">
        <v>45</v>
      </c>
      <c r="L2" s="119" t="s">
        <v>163</v>
      </c>
      <c r="M2" s="119" t="s">
        <v>191</v>
      </c>
      <c r="N2" s="119" t="s">
        <v>192</v>
      </c>
      <c r="O2" s="118" t="s">
        <v>240</v>
      </c>
      <c r="P2" s="133" t="s">
        <v>292</v>
      </c>
      <c r="Q2" s="133" t="s">
        <v>242</v>
      </c>
      <c r="R2" s="133" t="s">
        <v>243</v>
      </c>
      <c r="S2" s="133" t="s">
        <v>364</v>
      </c>
      <c r="T2" s="133" t="s">
        <v>365</v>
      </c>
      <c r="U2" s="118" t="s">
        <v>195</v>
      </c>
      <c r="V2" s="118" t="s">
        <v>389</v>
      </c>
      <c r="W2" s="118" t="s">
        <v>336</v>
      </c>
      <c r="X2" s="118" t="s">
        <v>362</v>
      </c>
      <c r="Y2" s="118" t="s">
        <v>204</v>
      </c>
      <c r="Z2" s="118" t="s">
        <v>258</v>
      </c>
      <c r="AA2" s="118" t="s">
        <v>385</v>
      </c>
      <c r="AB2" s="118" t="s">
        <v>299</v>
      </c>
      <c r="AC2" s="118" t="s">
        <v>276</v>
      </c>
    </row>
    <row r="3" spans="1:29" s="116" customFormat="1" ht="26" customHeight="1" x14ac:dyDescent="0.2">
      <c r="A3" s="121" t="s">
        <v>402</v>
      </c>
      <c r="B3" s="154">
        <v>0.443</v>
      </c>
      <c r="E3"/>
      <c r="F3"/>
      <c r="G3"/>
      <c r="H3" s="123">
        <f t="shared" ref="H3:H7" si="0">D3/B3</f>
        <v>0</v>
      </c>
      <c r="I3" s="123">
        <f t="shared" ref="I3:I7" si="1">F3*B3/600</f>
        <v>0</v>
      </c>
      <c r="J3" s="123">
        <v>22.75</v>
      </c>
      <c r="K3" s="126">
        <v>64</v>
      </c>
      <c r="L3" s="124">
        <f t="shared" ref="L3:L11" si="2">J3/K3</f>
        <v>0.35546875</v>
      </c>
      <c r="M3" s="131">
        <v>1.38</v>
      </c>
      <c r="N3" s="116">
        <v>0.13</v>
      </c>
      <c r="O3" s="153" t="s">
        <v>31</v>
      </c>
      <c r="P3" s="124">
        <v>0.443</v>
      </c>
      <c r="Q3" s="132">
        <v>6.5199999999999998E-3</v>
      </c>
      <c r="R3" s="132">
        <v>1.306E-2</v>
      </c>
      <c r="S3" s="131">
        <v>31.019880000000001</v>
      </c>
      <c r="T3" s="131">
        <v>16.58352</v>
      </c>
      <c r="U3" s="124">
        <f t="shared" ref="U3:U11" si="3">SQRT(9.81/M3)</f>
        <v>2.6662137296499533</v>
      </c>
      <c r="V3" s="124">
        <f t="shared" ref="V3:V6" si="4">SQRT(9.81/S3)</f>
        <v>0.56236003201211215</v>
      </c>
      <c r="W3" s="124">
        <f t="shared" ref="W3:W11" si="5">2*PI()/M3</f>
        <v>4.5530328312895554</v>
      </c>
      <c r="X3" s="123">
        <f t="shared" ref="X3:X11" si="6">W3/(L3)</f>
        <v>12.808531920990397</v>
      </c>
      <c r="Y3" s="123">
        <f t="shared" ref="Y3:Y11" si="7">U3/B3</f>
        <v>6.0185411504513615</v>
      </c>
      <c r="Z3" s="124">
        <f t="shared" ref="Z3:Z11" si="8">M3*N3</f>
        <v>0.1794</v>
      </c>
      <c r="AA3" s="131"/>
      <c r="AB3" s="124" t="s">
        <v>300</v>
      </c>
    </row>
    <row r="4" spans="1:29" s="116" customFormat="1" ht="26" customHeight="1" x14ac:dyDescent="0.2">
      <c r="A4" s="121" t="s">
        <v>403</v>
      </c>
      <c r="B4" s="154">
        <v>0.443</v>
      </c>
      <c r="E4"/>
      <c r="F4"/>
      <c r="G4"/>
      <c r="H4" s="123">
        <f t="shared" si="0"/>
        <v>0</v>
      </c>
      <c r="I4" s="123">
        <f t="shared" si="1"/>
        <v>0</v>
      </c>
      <c r="J4" s="123">
        <v>62.831800000000001</v>
      </c>
      <c r="K4" s="126">
        <v>92</v>
      </c>
      <c r="L4" s="124">
        <f t="shared" si="2"/>
        <v>0.68295434782608699</v>
      </c>
      <c r="M4" s="131">
        <v>0.5</v>
      </c>
      <c r="N4" s="116">
        <v>0.27850000000000003</v>
      </c>
      <c r="O4" s="159" t="s">
        <v>31</v>
      </c>
      <c r="P4" s="124">
        <v>0.443</v>
      </c>
      <c r="Q4" s="132">
        <v>1.057E-2</v>
      </c>
      <c r="R4" s="132">
        <v>2.1129999999999999E-2</v>
      </c>
      <c r="S4" s="131">
        <v>17.15427</v>
      </c>
      <c r="T4" s="131">
        <v>8.8955199999999994</v>
      </c>
      <c r="U4" s="124">
        <f t="shared" si="3"/>
        <v>4.4294469180700204</v>
      </c>
      <c r="V4" s="124">
        <f t="shared" si="4"/>
        <v>0.75622038985216</v>
      </c>
      <c r="W4" s="124">
        <f t="shared" si="5"/>
        <v>12.566370614359172</v>
      </c>
      <c r="X4" s="123">
        <f t="shared" si="6"/>
        <v>18.400015541828243</v>
      </c>
      <c r="Y4" s="123">
        <f t="shared" si="7"/>
        <v>9.9987515080587368</v>
      </c>
      <c r="Z4" s="124">
        <f t="shared" si="8"/>
        <v>0.13925000000000001</v>
      </c>
      <c r="AA4" s="131"/>
      <c r="AB4" s="124" t="s">
        <v>300</v>
      </c>
    </row>
    <row r="5" spans="1:29" s="116" customFormat="1" ht="26" customHeight="1" x14ac:dyDescent="0.2">
      <c r="A5" s="121" t="s">
        <v>404</v>
      </c>
      <c r="B5" s="154">
        <v>0.443</v>
      </c>
      <c r="G5" s="127"/>
      <c r="H5" s="123">
        <f t="shared" si="0"/>
        <v>0</v>
      </c>
      <c r="I5" s="123">
        <f t="shared" si="1"/>
        <v>0</v>
      </c>
      <c r="J5" s="123">
        <v>209.43951000000001</v>
      </c>
      <c r="K5" s="126">
        <v>128</v>
      </c>
      <c r="L5" s="124">
        <f t="shared" si="2"/>
        <v>1.6362461718750001</v>
      </c>
      <c r="M5" s="131">
        <v>0.15</v>
      </c>
      <c r="N5" s="116">
        <v>0.67</v>
      </c>
      <c r="O5" s="159" t="s">
        <v>31</v>
      </c>
      <c r="P5" s="124">
        <v>0.443</v>
      </c>
      <c r="Q5" s="132">
        <v>2.0920000000000001E-2</v>
      </c>
      <c r="R5" s="132">
        <v>4.1779999999999998E-2</v>
      </c>
      <c r="S5" s="131">
        <v>7.4545899999999996</v>
      </c>
      <c r="T5" s="131">
        <v>3.7871000000000001</v>
      </c>
      <c r="U5" s="124">
        <f t="shared" si="3"/>
        <v>8.0870266476622916</v>
      </c>
      <c r="V5" s="124">
        <f t="shared" si="4"/>
        <v>1.1471563738420301</v>
      </c>
      <c r="W5" s="124">
        <f t="shared" si="5"/>
        <v>41.887902047863911</v>
      </c>
      <c r="X5" s="123">
        <f t="shared" si="6"/>
        <v>25.600000029252264</v>
      </c>
      <c r="Y5" s="123">
        <f t="shared" si="7"/>
        <v>18.255139159508559</v>
      </c>
      <c r="Z5" s="124">
        <f t="shared" si="8"/>
        <v>0.10050000000000001</v>
      </c>
      <c r="AA5" s="131"/>
      <c r="AB5" s="124" t="s">
        <v>300</v>
      </c>
    </row>
    <row r="6" spans="1:29" s="116" customFormat="1" ht="26" customHeight="1" x14ac:dyDescent="0.2">
      <c r="A6" s="121" t="s">
        <v>405</v>
      </c>
      <c r="B6" s="154">
        <v>0.443</v>
      </c>
      <c r="G6" s="127"/>
      <c r="H6" s="123">
        <f t="shared" si="0"/>
        <v>0</v>
      </c>
      <c r="I6" s="123">
        <f t="shared" si="1"/>
        <v>0</v>
      </c>
      <c r="J6" s="123">
        <v>22.75</v>
      </c>
      <c r="K6" s="126">
        <v>64</v>
      </c>
      <c r="L6" s="124">
        <f t="shared" si="2"/>
        <v>0.35546875</v>
      </c>
      <c r="M6" s="131">
        <v>1.38</v>
      </c>
      <c r="N6" s="116">
        <v>0.13</v>
      </c>
      <c r="O6" s="159" t="s">
        <v>31</v>
      </c>
      <c r="P6" s="124">
        <v>0.443</v>
      </c>
      <c r="Q6" s="132">
        <v>6.5199999999999998E-3</v>
      </c>
      <c r="R6" s="132">
        <v>1.306E-2</v>
      </c>
      <c r="S6" s="131">
        <v>31.019880000000001</v>
      </c>
      <c r="T6" s="131">
        <v>16.58352</v>
      </c>
      <c r="U6" s="124">
        <f t="shared" si="3"/>
        <v>2.6662137296499533</v>
      </c>
      <c r="V6" s="124">
        <f t="shared" si="4"/>
        <v>0.56236003201211215</v>
      </c>
      <c r="W6" s="124">
        <f t="shared" si="5"/>
        <v>4.5530328312895554</v>
      </c>
      <c r="X6" s="123">
        <f t="shared" si="6"/>
        <v>12.808531920990397</v>
      </c>
      <c r="Y6" s="123">
        <f t="shared" si="7"/>
        <v>6.0185411504513615</v>
      </c>
      <c r="Z6" s="124">
        <f t="shared" si="8"/>
        <v>0.1794</v>
      </c>
      <c r="AA6" s="131"/>
      <c r="AB6" s="124" t="s">
        <v>300</v>
      </c>
    </row>
    <row r="7" spans="1:29" s="116" customFormat="1" ht="26" customHeight="1" x14ac:dyDescent="0.2">
      <c r="A7" s="121" t="s">
        <v>406</v>
      </c>
      <c r="B7" s="154">
        <v>0.443</v>
      </c>
      <c r="G7" s="127"/>
      <c r="H7" s="123">
        <f t="shared" si="0"/>
        <v>0</v>
      </c>
      <c r="I7" s="123">
        <f t="shared" si="1"/>
        <v>0</v>
      </c>
      <c r="J7" s="123">
        <v>62.831800000000001</v>
      </c>
      <c r="K7" s="126">
        <v>92</v>
      </c>
      <c r="L7" s="124">
        <f t="shared" si="2"/>
        <v>0.68295434782608699</v>
      </c>
      <c r="M7" s="131">
        <v>0.5</v>
      </c>
      <c r="N7" s="116">
        <v>0.27850000000000003</v>
      </c>
      <c r="O7" s="159" t="s">
        <v>31</v>
      </c>
      <c r="P7" s="124">
        <v>0.443</v>
      </c>
      <c r="Q7" s="132">
        <v>1.057E-2</v>
      </c>
      <c r="R7" s="132">
        <v>2.1129999999999999E-2</v>
      </c>
      <c r="S7" s="131">
        <v>17.15427</v>
      </c>
      <c r="T7" s="131">
        <v>8.8955199999999994</v>
      </c>
      <c r="U7" s="124">
        <f t="shared" si="3"/>
        <v>4.4294469180700204</v>
      </c>
      <c r="V7" s="124">
        <f>SQRT(9.81/S7)</f>
        <v>0.75622038985216</v>
      </c>
      <c r="W7" s="124">
        <f t="shared" si="5"/>
        <v>12.566370614359172</v>
      </c>
      <c r="X7" s="123">
        <f t="shared" si="6"/>
        <v>18.400015541828243</v>
      </c>
      <c r="Y7" s="123">
        <f t="shared" si="7"/>
        <v>9.9987515080587368</v>
      </c>
      <c r="Z7" s="124">
        <f t="shared" si="8"/>
        <v>0.13925000000000001</v>
      </c>
      <c r="AA7" s="131"/>
      <c r="AB7" s="124" t="s">
        <v>300</v>
      </c>
    </row>
    <row r="8" spans="1:29" s="116" customFormat="1" ht="26" customHeight="1" x14ac:dyDescent="0.2">
      <c r="A8" s="121" t="s">
        <v>407</v>
      </c>
      <c r="B8" s="154">
        <v>0.443</v>
      </c>
      <c r="E8"/>
      <c r="F8"/>
      <c r="G8"/>
      <c r="H8" s="123">
        <f t="shared" ref="H8:H11" si="9">D8/B8</f>
        <v>0</v>
      </c>
      <c r="I8" s="123">
        <f t="shared" ref="I8:I11" si="10">F8*B8/600</f>
        <v>0</v>
      </c>
      <c r="J8" s="123">
        <v>209.43951000000001</v>
      </c>
      <c r="K8" s="126">
        <v>128</v>
      </c>
      <c r="L8" s="124">
        <f t="shared" si="2"/>
        <v>1.6362461718750001</v>
      </c>
      <c r="M8" s="131">
        <v>0.15</v>
      </c>
      <c r="N8" s="116">
        <v>0.67</v>
      </c>
      <c r="O8" s="116" t="s">
        <v>31</v>
      </c>
      <c r="P8" s="124">
        <v>0.443</v>
      </c>
      <c r="Q8" s="132">
        <v>2.0920000000000001E-2</v>
      </c>
      <c r="R8" s="132">
        <v>4.1779999999999998E-2</v>
      </c>
      <c r="S8" s="131">
        <v>7.4545899999999996</v>
      </c>
      <c r="T8" s="131">
        <v>3.7871000000000001</v>
      </c>
      <c r="U8" s="124">
        <f t="shared" si="3"/>
        <v>8.0870266476622916</v>
      </c>
      <c r="V8" s="124">
        <f>SQRT(9.81/S8)</f>
        <v>1.1471563738420301</v>
      </c>
      <c r="W8" s="124">
        <f t="shared" si="5"/>
        <v>41.887902047863911</v>
      </c>
      <c r="X8" s="123">
        <f t="shared" si="6"/>
        <v>25.600000029252264</v>
      </c>
      <c r="Y8" s="123">
        <f t="shared" si="7"/>
        <v>18.255139159508559</v>
      </c>
      <c r="Z8" s="124">
        <f t="shared" si="8"/>
        <v>0.10050000000000001</v>
      </c>
      <c r="AA8" s="131"/>
      <c r="AB8" s="124" t="s">
        <v>300</v>
      </c>
    </row>
    <row r="9" spans="1:29" s="116" customFormat="1" ht="26" customHeight="1" x14ac:dyDescent="0.2">
      <c r="A9" s="121" t="s">
        <v>408</v>
      </c>
      <c r="B9" s="154">
        <v>0.443</v>
      </c>
      <c r="E9"/>
      <c r="F9"/>
      <c r="G9"/>
      <c r="H9" s="123">
        <f t="shared" si="9"/>
        <v>0</v>
      </c>
      <c r="I9" s="123">
        <f t="shared" si="10"/>
        <v>0</v>
      </c>
      <c r="J9" s="123">
        <v>22.75</v>
      </c>
      <c r="K9" s="126">
        <v>64</v>
      </c>
      <c r="L9" s="124">
        <f t="shared" si="2"/>
        <v>0.35546875</v>
      </c>
      <c r="M9" s="131">
        <v>1.38</v>
      </c>
      <c r="N9" s="116">
        <v>0.13</v>
      </c>
      <c r="O9" s="116" t="s">
        <v>31</v>
      </c>
      <c r="P9" s="124">
        <v>0.443</v>
      </c>
      <c r="Q9" s="132">
        <v>6.5199999999999998E-3</v>
      </c>
      <c r="R9" s="132">
        <v>1.306E-2</v>
      </c>
      <c r="S9" s="131">
        <v>31.019880000000001</v>
      </c>
      <c r="T9" s="131">
        <v>16.58352</v>
      </c>
      <c r="U9" s="124">
        <f t="shared" si="3"/>
        <v>2.6662137296499533</v>
      </c>
      <c r="V9" s="124">
        <f t="shared" ref="V9:V11" si="11">SQRT(9.81/S9)</f>
        <v>0.56236003201211215</v>
      </c>
      <c r="W9" s="124">
        <f t="shared" si="5"/>
        <v>4.5530328312895554</v>
      </c>
      <c r="X9" s="123">
        <f t="shared" si="6"/>
        <v>12.808531920990397</v>
      </c>
      <c r="Y9" s="123">
        <f t="shared" si="7"/>
        <v>6.0185411504513615</v>
      </c>
      <c r="Z9" s="124">
        <f t="shared" si="8"/>
        <v>0.1794</v>
      </c>
      <c r="AA9" s="131"/>
      <c r="AB9" s="124" t="s">
        <v>300</v>
      </c>
    </row>
    <row r="10" spans="1:29" s="116" customFormat="1" ht="26" customHeight="1" x14ac:dyDescent="0.2">
      <c r="A10" s="121" t="s">
        <v>409</v>
      </c>
      <c r="B10" s="154">
        <v>0.443</v>
      </c>
      <c r="E10"/>
      <c r="F10"/>
      <c r="G10"/>
      <c r="H10" s="123">
        <f t="shared" si="9"/>
        <v>0</v>
      </c>
      <c r="I10" s="123">
        <f t="shared" si="10"/>
        <v>0</v>
      </c>
      <c r="J10" s="123">
        <v>62.831800000000001</v>
      </c>
      <c r="K10" s="126">
        <v>92</v>
      </c>
      <c r="L10" s="124">
        <f t="shared" si="2"/>
        <v>0.68295434782608699</v>
      </c>
      <c r="M10" s="131">
        <v>0.5</v>
      </c>
      <c r="N10" s="116">
        <v>0.27850000000000003</v>
      </c>
      <c r="O10" s="116" t="s">
        <v>31</v>
      </c>
      <c r="P10" s="124">
        <v>0.443</v>
      </c>
      <c r="Q10" s="132">
        <v>1.057E-2</v>
      </c>
      <c r="R10" s="132">
        <v>2.1129999999999999E-2</v>
      </c>
      <c r="S10" s="131">
        <v>17.15427</v>
      </c>
      <c r="T10" s="131">
        <v>8.8955199999999994</v>
      </c>
      <c r="U10" s="124">
        <f t="shared" si="3"/>
        <v>4.4294469180700204</v>
      </c>
      <c r="V10" s="124">
        <f t="shared" si="11"/>
        <v>0.75622038985216</v>
      </c>
      <c r="W10" s="124">
        <f t="shared" si="5"/>
        <v>12.566370614359172</v>
      </c>
      <c r="X10" s="123">
        <f t="shared" si="6"/>
        <v>18.400015541828243</v>
      </c>
      <c r="Y10" s="123">
        <f t="shared" si="7"/>
        <v>9.9987515080587368</v>
      </c>
      <c r="Z10" s="124">
        <f t="shared" si="8"/>
        <v>0.13925000000000001</v>
      </c>
      <c r="AA10" s="131"/>
      <c r="AB10" s="124" t="s">
        <v>300</v>
      </c>
    </row>
    <row r="11" spans="1:29" s="116" customFormat="1" ht="26" customHeight="1" x14ac:dyDescent="0.2">
      <c r="A11" s="121" t="s">
        <v>410</v>
      </c>
      <c r="B11" s="154">
        <v>0.443</v>
      </c>
      <c r="E11"/>
      <c r="F11"/>
      <c r="G11"/>
      <c r="H11" s="123">
        <f t="shared" si="9"/>
        <v>0</v>
      </c>
      <c r="I11" s="123">
        <f t="shared" si="10"/>
        <v>0</v>
      </c>
      <c r="J11" s="123">
        <v>209.43951000000001</v>
      </c>
      <c r="K11" s="126">
        <v>128</v>
      </c>
      <c r="L11" s="124">
        <f t="shared" si="2"/>
        <v>1.6362461718750001</v>
      </c>
      <c r="M11" s="131">
        <v>0.15</v>
      </c>
      <c r="N11" s="116">
        <v>0.67</v>
      </c>
      <c r="O11" s="116" t="s">
        <v>31</v>
      </c>
      <c r="P11" s="124">
        <v>0.443</v>
      </c>
      <c r="Q11" s="132">
        <v>2.0920000000000001E-2</v>
      </c>
      <c r="R11" s="132">
        <v>4.1779999999999998E-2</v>
      </c>
      <c r="S11" s="131">
        <v>7.4545899999999996</v>
      </c>
      <c r="T11" s="131">
        <v>3.7871000000000001</v>
      </c>
      <c r="U11" s="124">
        <f t="shared" si="3"/>
        <v>8.0870266476622916</v>
      </c>
      <c r="V11" s="124">
        <f t="shared" si="11"/>
        <v>1.1471563738420301</v>
      </c>
      <c r="W11" s="124">
        <f t="shared" si="5"/>
        <v>41.887902047863911</v>
      </c>
      <c r="X11" s="123">
        <f t="shared" si="6"/>
        <v>25.600000029252264</v>
      </c>
      <c r="Y11" s="123">
        <f t="shared" si="7"/>
        <v>18.255139159508559</v>
      </c>
      <c r="Z11" s="124">
        <f t="shared" si="8"/>
        <v>0.10050000000000001</v>
      </c>
      <c r="AA11" s="131"/>
      <c r="AB11" s="124" t="s">
        <v>300</v>
      </c>
    </row>
    <row r="12" spans="1:29" s="116" customFormat="1" ht="26" customHeight="1" x14ac:dyDescent="0.2">
      <c r="A12" s="121" t="s">
        <v>420</v>
      </c>
      <c r="B12" s="154"/>
      <c r="E12"/>
      <c r="F12"/>
      <c r="G12"/>
      <c r="H12" s="123"/>
      <c r="I12" s="123"/>
      <c r="J12" s="126"/>
      <c r="K12" s="126"/>
      <c r="L12" s="123"/>
      <c r="O12" s="116" t="s">
        <v>31</v>
      </c>
      <c r="Q12" s="132"/>
      <c r="R12" s="132"/>
      <c r="S12" s="131"/>
      <c r="T12" s="131"/>
      <c r="U12" s="124"/>
      <c r="V12" s="124"/>
      <c r="W12" s="124"/>
      <c r="X12" s="123"/>
      <c r="Y12" s="123"/>
      <c r="Z12" s="124"/>
      <c r="AA12" s="131"/>
      <c r="AB12" s="124"/>
    </row>
    <row r="13" spans="1:29" s="116" customFormat="1" ht="26" customHeight="1" x14ac:dyDescent="0.2">
      <c r="A13" s="121"/>
      <c r="B13" s="154"/>
      <c r="E13"/>
      <c r="F13"/>
      <c r="G13"/>
      <c r="H13" s="123"/>
      <c r="I13" s="123"/>
      <c r="J13" s="126"/>
      <c r="K13" s="126"/>
      <c r="L13" s="123"/>
      <c r="Q13" s="132"/>
      <c r="R13" s="132"/>
      <c r="S13" s="131"/>
      <c r="T13" s="131"/>
      <c r="U13" s="124"/>
      <c r="V13" s="124"/>
      <c r="W13" s="124"/>
      <c r="X13" s="123"/>
      <c r="Y13" s="123"/>
      <c r="Z13" s="124"/>
      <c r="AA13" s="131"/>
      <c r="AB13" s="124"/>
    </row>
    <row r="14" spans="1:29" s="116" customFormat="1" ht="26" customHeight="1" x14ac:dyDescent="0.2">
      <c r="A14" s="121"/>
      <c r="B14"/>
      <c r="E14"/>
      <c r="F14"/>
      <c r="G14"/>
      <c r="H14" s="123"/>
      <c r="I14" s="123"/>
      <c r="J14" s="126"/>
      <c r="K14" s="126"/>
      <c r="L14" s="123"/>
      <c r="Q14" s="132"/>
      <c r="R14" s="132"/>
      <c r="S14" s="131"/>
      <c r="T14" s="131"/>
      <c r="U14" s="124"/>
      <c r="V14" s="124"/>
      <c r="W14" s="124"/>
      <c r="X14" s="123"/>
      <c r="Y14" s="123"/>
      <c r="Z14" s="124"/>
      <c r="AA14" s="131"/>
      <c r="AB14" s="124"/>
    </row>
    <row r="15" spans="1:29" s="116" customFormat="1" ht="26" customHeight="1" x14ac:dyDescent="0.2">
      <c r="A15" s="121"/>
      <c r="G15" s="127"/>
      <c r="H15" s="123"/>
      <c r="I15" s="123"/>
      <c r="J15" s="126"/>
      <c r="K15" s="126"/>
      <c r="L15" s="123"/>
      <c r="Q15" s="132"/>
      <c r="R15" s="132"/>
      <c r="S15" s="131"/>
      <c r="T15" s="131"/>
      <c r="U15" s="124"/>
      <c r="V15" s="124"/>
      <c r="W15" s="124"/>
      <c r="X15" s="123"/>
      <c r="Y15" s="123"/>
      <c r="Z15" s="124"/>
      <c r="AA15" s="131"/>
      <c r="AB15" s="124"/>
    </row>
    <row r="16" spans="1:29" s="116" customFormat="1" ht="26" customHeight="1" x14ac:dyDescent="0.2">
      <c r="A16" s="121"/>
      <c r="G16" s="127"/>
      <c r="H16" s="123"/>
      <c r="I16" s="123"/>
      <c r="J16" s="126"/>
      <c r="K16" s="126"/>
      <c r="L16" s="123"/>
      <c r="Q16" s="132"/>
      <c r="R16" s="132"/>
      <c r="S16" s="131"/>
      <c r="T16" s="131"/>
      <c r="U16" s="124"/>
      <c r="V16" s="124"/>
      <c r="W16" s="124"/>
      <c r="X16" s="123"/>
      <c r="Y16" s="123"/>
      <c r="Z16" s="124"/>
      <c r="AA16" s="131"/>
      <c r="AB16" s="124"/>
    </row>
    <row r="17" spans="1:28" s="116" customFormat="1" ht="26" customHeight="1" x14ac:dyDescent="0.2">
      <c r="A17" s="121"/>
      <c r="G17" s="127"/>
      <c r="H17" s="123"/>
      <c r="I17" s="123"/>
      <c r="J17" s="126"/>
      <c r="K17" s="126"/>
      <c r="L17" s="123"/>
      <c r="Q17" s="132"/>
      <c r="R17" s="132"/>
      <c r="S17" s="131"/>
      <c r="T17" s="131"/>
      <c r="U17" s="124"/>
      <c r="V17" s="124"/>
      <c r="W17" s="124"/>
      <c r="X17" s="123"/>
      <c r="Y17" s="123"/>
      <c r="Z17" s="124"/>
      <c r="AA17" s="131"/>
      <c r="AB17" s="124"/>
    </row>
  </sheetData>
  <mergeCells count="2">
    <mergeCell ref="K1:N1"/>
    <mergeCell ref="P1:T1"/>
  </mergeCells>
  <conditionalFormatting sqref="O3:O11">
    <cfRule type="containsText" dxfId="45" priority="1" stopIfTrue="1" operator="containsText" text="bad">
      <formula>NOT(ISERROR(SEARCH("bad",O3)))</formula>
    </cfRule>
    <cfRule type="containsText" dxfId="44" priority="2" stopIfTrue="1" operator="containsText" text="error">
      <formula>NOT(ISERROR(SEARCH("error",O3)))</formula>
    </cfRule>
    <cfRule type="containsText" dxfId="43" priority="3" stopIfTrue="1" operator="containsText" text="running">
      <formula>NOT(ISERROR(SEARCH("running",O3)))</formula>
    </cfRule>
    <cfRule type="containsText" dxfId="42" priority="4" operator="containsText" text="done">
      <formula>NOT(ISERROR(SEARCH("done",O3)))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5E55-9714-6249-AF15-6EAE7BAFF880}">
  <dimension ref="A1:AD51"/>
  <sheetViews>
    <sheetView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M17" sqref="M17"/>
    </sheetView>
  </sheetViews>
  <sheetFormatPr baseColWidth="10" defaultRowHeight="16" x14ac:dyDescent="0.2"/>
  <cols>
    <col min="1" max="1" width="23.6640625" customWidth="1"/>
    <col min="2" max="2" width="13.33203125" customWidth="1"/>
    <col min="3" max="9" width="10.83203125" customWidth="1"/>
    <col min="15" max="21" width="10.83203125" customWidth="1"/>
    <col min="26" max="26" width="10.83203125" customWidth="1"/>
    <col min="28" max="28" width="11.33203125" customWidth="1"/>
  </cols>
  <sheetData>
    <row r="1" spans="1:30" x14ac:dyDescent="0.2">
      <c r="K1" s="174" t="s">
        <v>366</v>
      </c>
      <c r="L1" s="174"/>
      <c r="M1" s="174"/>
      <c r="N1" s="174"/>
      <c r="P1" s="176" t="s">
        <v>366</v>
      </c>
      <c r="Q1" s="176"/>
      <c r="R1" s="176"/>
      <c r="S1" s="176"/>
      <c r="T1" s="176"/>
      <c r="U1" s="176"/>
    </row>
    <row r="2" spans="1:30" s="118" customFormat="1" ht="26" customHeight="1" thickBot="1" x14ac:dyDescent="0.25">
      <c r="A2" s="120" t="s">
        <v>226</v>
      </c>
      <c r="B2" s="118" t="s">
        <v>268</v>
      </c>
      <c r="C2" s="118" t="s">
        <v>284</v>
      </c>
      <c r="D2" s="118" t="s">
        <v>285</v>
      </c>
      <c r="E2" s="118" t="s">
        <v>286</v>
      </c>
      <c r="F2" s="118" t="s">
        <v>287</v>
      </c>
      <c r="G2" s="118" t="s">
        <v>274</v>
      </c>
      <c r="H2" s="118" t="s">
        <v>288</v>
      </c>
      <c r="I2" s="118" t="s">
        <v>289</v>
      </c>
      <c r="J2" s="118" t="s">
        <v>122</v>
      </c>
      <c r="K2" s="119" t="s">
        <v>45</v>
      </c>
      <c r="L2" s="119" t="s">
        <v>163</v>
      </c>
      <c r="M2" s="119" t="s">
        <v>191</v>
      </c>
      <c r="N2" s="119" t="s">
        <v>192</v>
      </c>
      <c r="O2" s="118" t="s">
        <v>240</v>
      </c>
      <c r="P2" s="133" t="s">
        <v>292</v>
      </c>
      <c r="Q2" s="133" t="s">
        <v>242</v>
      </c>
      <c r="R2" s="133" t="s">
        <v>243</v>
      </c>
      <c r="S2" s="133" t="s">
        <v>363</v>
      </c>
      <c r="T2" s="133" t="s">
        <v>364</v>
      </c>
      <c r="U2" s="133" t="s">
        <v>365</v>
      </c>
      <c r="V2" s="118" t="s">
        <v>195</v>
      </c>
      <c r="W2" s="118" t="s">
        <v>389</v>
      </c>
      <c r="X2" s="118" t="s">
        <v>336</v>
      </c>
      <c r="Y2" s="118" t="s">
        <v>362</v>
      </c>
      <c r="Z2" s="118" t="s">
        <v>204</v>
      </c>
      <c r="AA2" s="118" t="s">
        <v>258</v>
      </c>
      <c r="AB2" s="118" t="s">
        <v>385</v>
      </c>
      <c r="AC2" s="118" t="s">
        <v>299</v>
      </c>
      <c r="AD2" s="118" t="s">
        <v>276</v>
      </c>
    </row>
    <row r="3" spans="1:30" s="116" customFormat="1" ht="26" customHeight="1" x14ac:dyDescent="0.2">
      <c r="A3" s="121" t="s">
        <v>397</v>
      </c>
      <c r="B3">
        <v>0.86199999999999999</v>
      </c>
      <c r="E3">
        <v>21</v>
      </c>
      <c r="F3">
        <v>2566</v>
      </c>
      <c r="G3">
        <v>0.94899999999999995</v>
      </c>
      <c r="H3" s="123">
        <f t="shared" ref="H3:H11" si="0">D3/B3</f>
        <v>0</v>
      </c>
      <c r="I3" s="123">
        <f t="shared" ref="I3:I11" si="1">F3*B3/600</f>
        <v>3.6864866666666662</v>
      </c>
      <c r="J3" s="126">
        <v>3000</v>
      </c>
      <c r="K3" s="126">
        <f t="shared" ref="K3:K11" si="2">INT(J3/L3)</f>
        <v>750</v>
      </c>
      <c r="L3" s="123">
        <v>4</v>
      </c>
      <c r="M3" s="116">
        <v>0.314</v>
      </c>
      <c r="N3" s="116">
        <f>N6/2</f>
        <v>0.8</v>
      </c>
      <c r="O3" s="153" t="s">
        <v>31</v>
      </c>
      <c r="P3" s="116">
        <v>0.46400000000000002</v>
      </c>
      <c r="Q3" s="132">
        <v>9.4820000000000002E-2</v>
      </c>
      <c r="R3" s="132">
        <v>0.15462000000000001</v>
      </c>
      <c r="S3" s="116">
        <v>4.2534000000000002E-2</v>
      </c>
      <c r="T3" s="131">
        <v>4.2342300000000002</v>
      </c>
      <c r="U3" s="131">
        <v>2.2639900000000002</v>
      </c>
      <c r="V3" s="124">
        <f t="shared" ref="V3:V11" si="3">SQRT(9.81/M3)</f>
        <v>5.5894577748257941</v>
      </c>
      <c r="W3" s="124">
        <f>SQRT(9.81/T3)</f>
        <v>1.5221143531502968</v>
      </c>
      <c r="X3" s="124">
        <f t="shared" ref="X3:X11" si="4">2*PI()/M3</f>
        <v>20.010144290380847</v>
      </c>
      <c r="Y3" s="123">
        <f t="shared" ref="Y3:Y11" si="5">X3/(L3)</f>
        <v>5.0025360725952117</v>
      </c>
      <c r="Z3" s="123">
        <f t="shared" ref="Z3:Z11" si="6">V3/B3</f>
        <v>6.4842897619788795</v>
      </c>
      <c r="AA3" s="124">
        <f t="shared" ref="AA3:AA11" si="7">M3*N3</f>
        <v>0.25120000000000003</v>
      </c>
      <c r="AB3" s="131">
        <v>0.88759999999999994</v>
      </c>
      <c r="AC3" s="124" t="s">
        <v>301</v>
      </c>
    </row>
    <row r="4" spans="1:30" s="116" customFormat="1" ht="26" customHeight="1" x14ac:dyDescent="0.2">
      <c r="A4" s="121" t="s">
        <v>398</v>
      </c>
      <c r="B4">
        <v>0.83899999999999997</v>
      </c>
      <c r="E4">
        <v>21</v>
      </c>
      <c r="F4">
        <v>2772</v>
      </c>
      <c r="G4">
        <v>0.49099999999999999</v>
      </c>
      <c r="H4" s="123">
        <f t="shared" si="0"/>
        <v>0</v>
      </c>
      <c r="I4" s="123">
        <f t="shared" si="1"/>
        <v>3.8761800000000002</v>
      </c>
      <c r="J4" s="126">
        <v>3000</v>
      </c>
      <c r="K4" s="126">
        <f t="shared" si="2"/>
        <v>375</v>
      </c>
      <c r="L4" s="123">
        <v>8</v>
      </c>
      <c r="M4" s="116">
        <v>0.314</v>
      </c>
      <c r="N4" s="116">
        <f>N7/2</f>
        <v>0.8</v>
      </c>
      <c r="O4" s="153" t="s">
        <v>31</v>
      </c>
      <c r="P4" s="116">
        <v>0.46400000000000002</v>
      </c>
      <c r="Q4" s="132">
        <v>0.15462000000000001</v>
      </c>
      <c r="R4" s="132">
        <v>0.23172000000000001</v>
      </c>
      <c r="S4" s="116">
        <v>4.2534000000000002E-2</v>
      </c>
      <c r="T4" s="131">
        <v>2.2639900000000002</v>
      </c>
      <c r="U4" s="131">
        <v>1.3142199999999999</v>
      </c>
      <c r="V4" s="124">
        <f t="shared" si="3"/>
        <v>5.5894577748257941</v>
      </c>
      <c r="W4" s="124">
        <f t="shared" ref="W4:W10" si="8">SQRT(9.81/T4)</f>
        <v>2.0815998674593419</v>
      </c>
      <c r="X4" s="124">
        <f t="shared" si="4"/>
        <v>20.010144290380847</v>
      </c>
      <c r="Y4" s="123">
        <f t="shared" si="5"/>
        <v>2.5012680362976059</v>
      </c>
      <c r="Z4" s="123">
        <f t="shared" si="6"/>
        <v>6.6620474074204941</v>
      </c>
      <c r="AA4" s="124">
        <f t="shared" si="7"/>
        <v>0.25120000000000003</v>
      </c>
      <c r="AB4" s="131">
        <v>0.70109999999999995</v>
      </c>
      <c r="AC4" s="124" t="s">
        <v>301</v>
      </c>
    </row>
    <row r="5" spans="1:30" s="116" customFormat="1" ht="26" customHeight="1" x14ac:dyDescent="0.2">
      <c r="A5" s="121" t="s">
        <v>390</v>
      </c>
      <c r="B5" s="154">
        <v>0.76200000000000001</v>
      </c>
      <c r="E5">
        <v>21</v>
      </c>
      <c r="F5">
        <v>2548</v>
      </c>
      <c r="G5">
        <v>0.373</v>
      </c>
      <c r="H5" s="123">
        <f t="shared" si="0"/>
        <v>0</v>
      </c>
      <c r="I5" s="123">
        <f t="shared" si="1"/>
        <v>3.2359599999999999</v>
      </c>
      <c r="J5" s="126">
        <v>3000</v>
      </c>
      <c r="K5" s="126">
        <f t="shared" si="2"/>
        <v>187</v>
      </c>
      <c r="L5" s="123">
        <v>16</v>
      </c>
      <c r="M5" s="116">
        <v>0.314</v>
      </c>
      <c r="N5" s="116">
        <f>N8/2</f>
        <v>0.8</v>
      </c>
      <c r="O5" s="153" t="s">
        <v>31</v>
      </c>
      <c r="P5" s="116">
        <v>0.46400000000000002</v>
      </c>
      <c r="Q5" s="132">
        <v>0.23172000000000001</v>
      </c>
      <c r="R5" s="132">
        <v>0.27948000000000001</v>
      </c>
      <c r="S5" s="116">
        <v>4.2534000000000002E-2</v>
      </c>
      <c r="T5" s="131">
        <v>1.3142199999999999</v>
      </c>
      <c r="U5" s="131">
        <v>0.99758999999999998</v>
      </c>
      <c r="V5" s="124">
        <f t="shared" si="3"/>
        <v>5.5894577748257941</v>
      </c>
      <c r="W5" s="157">
        <f t="shared" si="8"/>
        <v>2.7321243858883162</v>
      </c>
      <c r="X5" s="124">
        <f t="shared" si="4"/>
        <v>20.010144290380847</v>
      </c>
      <c r="Y5" s="123">
        <f t="shared" si="5"/>
        <v>1.2506340181488029</v>
      </c>
      <c r="Z5" s="123">
        <f t="shared" si="6"/>
        <v>7.3352464236558976</v>
      </c>
      <c r="AA5" s="124">
        <f t="shared" si="7"/>
        <v>0.25120000000000003</v>
      </c>
      <c r="AB5" s="131">
        <v>0.32869999999999999</v>
      </c>
      <c r="AC5" s="124" t="s">
        <v>301</v>
      </c>
    </row>
    <row r="6" spans="1:30" s="116" customFormat="1" ht="26" customHeight="1" x14ac:dyDescent="0.2">
      <c r="A6" s="121" t="s">
        <v>391</v>
      </c>
      <c r="B6">
        <v>0.871</v>
      </c>
      <c r="E6"/>
      <c r="F6"/>
      <c r="G6"/>
      <c r="H6" s="123">
        <f t="shared" si="0"/>
        <v>0</v>
      </c>
      <c r="I6" s="123">
        <f t="shared" si="1"/>
        <v>0</v>
      </c>
      <c r="J6" s="126">
        <v>3000</v>
      </c>
      <c r="K6" s="126">
        <f t="shared" si="2"/>
        <v>750</v>
      </c>
      <c r="L6" s="123">
        <v>4</v>
      </c>
      <c r="M6" s="131">
        <f t="shared" ref="M6:M11" si="9">M3/2</f>
        <v>0.157</v>
      </c>
      <c r="N6" s="116">
        <v>1.6</v>
      </c>
      <c r="O6" s="153" t="s">
        <v>31</v>
      </c>
      <c r="P6" s="116">
        <v>0.46400000000000002</v>
      </c>
      <c r="Q6" s="132">
        <v>0.11366</v>
      </c>
      <c r="R6" s="132">
        <v>0.18972</v>
      </c>
      <c r="S6" s="116">
        <v>6.0149000000000001E-2</v>
      </c>
      <c r="T6" s="131">
        <v>4.20207</v>
      </c>
      <c r="U6" s="131">
        <v>2.1940200000000001</v>
      </c>
      <c r="V6" s="124">
        <f t="shared" si="3"/>
        <v>7.9046869914703786</v>
      </c>
      <c r="W6" s="124">
        <f t="shared" si="8"/>
        <v>1.5279279038388798</v>
      </c>
      <c r="X6" s="124">
        <f t="shared" si="4"/>
        <v>40.020288580761694</v>
      </c>
      <c r="Y6" s="123">
        <f t="shared" si="5"/>
        <v>10.005072145190423</v>
      </c>
      <c r="Z6" s="123">
        <f t="shared" si="6"/>
        <v>9.0754156044436041</v>
      </c>
      <c r="AA6" s="124">
        <f t="shared" si="7"/>
        <v>0.25120000000000003</v>
      </c>
      <c r="AB6" s="131">
        <v>0.95960000000000001</v>
      </c>
      <c r="AC6" s="124" t="s">
        <v>301</v>
      </c>
    </row>
    <row r="7" spans="1:30" s="116" customFormat="1" ht="26" customHeight="1" x14ac:dyDescent="0.2">
      <c r="A7" s="121" t="s">
        <v>392</v>
      </c>
      <c r="B7" s="154">
        <v>0.86</v>
      </c>
      <c r="E7">
        <v>21</v>
      </c>
      <c r="F7">
        <v>2690</v>
      </c>
      <c r="G7">
        <v>0.50700000000000001</v>
      </c>
      <c r="H7" s="123">
        <f t="shared" si="0"/>
        <v>0</v>
      </c>
      <c r="I7" s="123">
        <f t="shared" si="1"/>
        <v>3.855666666666667</v>
      </c>
      <c r="J7" s="126">
        <v>3000</v>
      </c>
      <c r="K7" s="126">
        <f t="shared" si="2"/>
        <v>375</v>
      </c>
      <c r="L7" s="123">
        <v>8</v>
      </c>
      <c r="M7" s="131">
        <f t="shared" si="9"/>
        <v>0.157</v>
      </c>
      <c r="N7" s="116">
        <v>1.6</v>
      </c>
      <c r="O7" s="153" t="s">
        <v>31</v>
      </c>
      <c r="P7" s="116">
        <v>0.46400000000000002</v>
      </c>
      <c r="Q7" s="132">
        <v>0.18972</v>
      </c>
      <c r="R7" s="132">
        <v>0.30929000000000001</v>
      </c>
      <c r="S7" s="116">
        <v>6.0149000000000001E-2</v>
      </c>
      <c r="T7" s="131">
        <v>2.1940200000000001</v>
      </c>
      <c r="U7" s="131">
        <v>1.16127</v>
      </c>
      <c r="V7" s="124">
        <f t="shared" si="3"/>
        <v>7.9046869914703786</v>
      </c>
      <c r="W7" s="124">
        <f t="shared" si="8"/>
        <v>2.1145317601709168</v>
      </c>
      <c r="X7" s="124">
        <f t="shared" si="4"/>
        <v>40.020288580761694</v>
      </c>
      <c r="Y7" s="123">
        <f t="shared" si="5"/>
        <v>5.0025360725952117</v>
      </c>
      <c r="Z7" s="123">
        <f t="shared" si="6"/>
        <v>9.191496501709743</v>
      </c>
      <c r="AA7" s="124">
        <f t="shared" si="7"/>
        <v>0.25120000000000003</v>
      </c>
      <c r="AB7" s="131">
        <v>0.88749999999999996</v>
      </c>
      <c r="AC7" s="124" t="s">
        <v>301</v>
      </c>
    </row>
    <row r="8" spans="1:30" s="116" customFormat="1" ht="26" customHeight="1" x14ac:dyDescent="0.2">
      <c r="A8" s="121" t="s">
        <v>393</v>
      </c>
      <c r="B8" s="154">
        <v>0.83699999999999997</v>
      </c>
      <c r="E8">
        <v>21</v>
      </c>
      <c r="F8">
        <v>2335</v>
      </c>
      <c r="G8">
        <v>0.39400000000000002</v>
      </c>
      <c r="H8" s="123">
        <f t="shared" si="0"/>
        <v>0</v>
      </c>
      <c r="I8" s="123">
        <f t="shared" si="1"/>
        <v>3.2573249999999998</v>
      </c>
      <c r="J8" s="126">
        <v>3000</v>
      </c>
      <c r="K8" s="126">
        <f t="shared" si="2"/>
        <v>187</v>
      </c>
      <c r="L8" s="123">
        <v>16</v>
      </c>
      <c r="M8" s="131">
        <f t="shared" si="9"/>
        <v>0.157</v>
      </c>
      <c r="N8" s="116">
        <v>1.6</v>
      </c>
      <c r="O8" s="158" t="s">
        <v>31</v>
      </c>
      <c r="P8" s="116">
        <v>0.46400000000000002</v>
      </c>
      <c r="Q8" s="132">
        <v>0.30929000000000001</v>
      </c>
      <c r="R8" s="132">
        <v>0.46346999999999999</v>
      </c>
      <c r="S8" s="116">
        <v>6.0149000000000001E-2</v>
      </c>
      <c r="T8" s="131">
        <v>1.16127</v>
      </c>
      <c r="U8" s="131">
        <v>0.67022000000000004</v>
      </c>
      <c r="V8" s="124">
        <f t="shared" si="3"/>
        <v>7.9046869914703786</v>
      </c>
      <c r="W8" s="124">
        <f t="shared" si="8"/>
        <v>2.9064837577108689</v>
      </c>
      <c r="X8" s="124">
        <f t="shared" si="4"/>
        <v>40.020288580761694</v>
      </c>
      <c r="Y8" s="123">
        <f t="shared" si="5"/>
        <v>2.5012680362976059</v>
      </c>
      <c r="Z8" s="123">
        <f t="shared" si="6"/>
        <v>9.4440704796539769</v>
      </c>
      <c r="AA8" s="124">
        <f t="shared" si="7"/>
        <v>0.25120000000000003</v>
      </c>
      <c r="AB8" s="131">
        <v>0.70099999999999996</v>
      </c>
      <c r="AC8" s="124" t="s">
        <v>301</v>
      </c>
    </row>
    <row r="9" spans="1:30" s="116" customFormat="1" ht="26" customHeight="1" x14ac:dyDescent="0.2">
      <c r="A9" s="121" t="s">
        <v>394</v>
      </c>
      <c r="B9" s="124">
        <v>0.91100000000000003</v>
      </c>
      <c r="G9" s="127"/>
      <c r="H9" s="123">
        <f t="shared" si="0"/>
        <v>0</v>
      </c>
      <c r="I9" s="123">
        <f t="shared" si="1"/>
        <v>0</v>
      </c>
      <c r="J9" s="126">
        <v>3000</v>
      </c>
      <c r="K9" s="126">
        <f t="shared" si="2"/>
        <v>750</v>
      </c>
      <c r="L9" s="123">
        <v>4</v>
      </c>
      <c r="M9" s="131">
        <f t="shared" si="9"/>
        <v>7.85E-2</v>
      </c>
      <c r="N9" s="116">
        <f>N6*2</f>
        <v>3.2</v>
      </c>
      <c r="O9" s="158" t="s">
        <v>31</v>
      </c>
      <c r="P9" s="116">
        <v>0.46400000000000002</v>
      </c>
      <c r="Q9" s="132">
        <v>0.13544</v>
      </c>
      <c r="R9" s="132">
        <v>0.22742999999999999</v>
      </c>
      <c r="S9" s="116">
        <v>8.5064000000000001E-2</v>
      </c>
      <c r="T9" s="131">
        <v>4.1940499999999998</v>
      </c>
      <c r="U9" s="131">
        <v>2.1767300000000001</v>
      </c>
      <c r="V9" s="124">
        <f t="shared" si="3"/>
        <v>11.178915549651588</v>
      </c>
      <c r="W9" s="124">
        <f t="shared" si="8"/>
        <v>1.5293880830530819</v>
      </c>
      <c r="X9" s="124">
        <f t="shared" si="4"/>
        <v>80.040577161523387</v>
      </c>
      <c r="Y9" s="123">
        <f t="shared" si="5"/>
        <v>20.010144290380847</v>
      </c>
      <c r="Z9" s="123">
        <f t="shared" si="6"/>
        <v>12.271037924974301</v>
      </c>
      <c r="AA9" s="124">
        <f t="shared" si="7"/>
        <v>0.25120000000000003</v>
      </c>
      <c r="AB9" s="131">
        <v>0.98570000000000002</v>
      </c>
      <c r="AC9" s="124" t="s">
        <v>301</v>
      </c>
    </row>
    <row r="10" spans="1:30" s="116" customFormat="1" ht="26" customHeight="1" x14ac:dyDescent="0.2">
      <c r="A10" s="121" t="s">
        <v>395</v>
      </c>
      <c r="B10" s="116">
        <v>0.89900000000000002</v>
      </c>
      <c r="G10" s="127"/>
      <c r="H10" s="123">
        <f t="shared" si="0"/>
        <v>0</v>
      </c>
      <c r="I10" s="123">
        <f t="shared" si="1"/>
        <v>0</v>
      </c>
      <c r="J10" s="126">
        <v>3000</v>
      </c>
      <c r="K10" s="126">
        <f t="shared" si="2"/>
        <v>375</v>
      </c>
      <c r="L10" s="123">
        <v>8</v>
      </c>
      <c r="M10" s="131">
        <f t="shared" si="9"/>
        <v>7.85E-2</v>
      </c>
      <c r="N10" s="116">
        <f>N7*2</f>
        <v>3.2</v>
      </c>
      <c r="O10" s="158" t="s">
        <v>31</v>
      </c>
      <c r="P10" s="116">
        <v>0.46400000000000002</v>
      </c>
      <c r="Q10" s="132">
        <v>0.22742999999999999</v>
      </c>
      <c r="R10" s="132">
        <v>0.3795</v>
      </c>
      <c r="S10" s="116">
        <v>8.5064000000000001E-2</v>
      </c>
      <c r="T10" s="131">
        <v>2.1767300000000001</v>
      </c>
      <c r="U10" s="131">
        <v>1.12452</v>
      </c>
      <c r="V10" s="124">
        <f t="shared" si="3"/>
        <v>11.178915549651588</v>
      </c>
      <c r="W10" s="124">
        <f t="shared" si="8"/>
        <v>2.1229131259216225</v>
      </c>
      <c r="X10" s="124">
        <f t="shared" si="4"/>
        <v>80.040577161523387</v>
      </c>
      <c r="Y10" s="123">
        <f t="shared" si="5"/>
        <v>10.005072145190423</v>
      </c>
      <c r="Z10" s="123">
        <f t="shared" si="6"/>
        <v>12.434833759345482</v>
      </c>
      <c r="AA10" s="124">
        <f t="shared" si="7"/>
        <v>0.25120000000000003</v>
      </c>
      <c r="AB10" s="131">
        <v>0.95960000000000001</v>
      </c>
      <c r="AC10" s="124" t="s">
        <v>301</v>
      </c>
    </row>
    <row r="11" spans="1:30" s="116" customFormat="1" ht="26" customHeight="1" x14ac:dyDescent="0.2">
      <c r="A11" s="121" t="s">
        <v>396</v>
      </c>
      <c r="B11" s="116">
        <v>0.85299999999999998</v>
      </c>
      <c r="G11" s="127"/>
      <c r="H11" s="123">
        <f t="shared" si="0"/>
        <v>0</v>
      </c>
      <c r="I11" s="123">
        <f t="shared" si="1"/>
        <v>0</v>
      </c>
      <c r="J11" s="126">
        <v>3000</v>
      </c>
      <c r="K11" s="126">
        <f t="shared" si="2"/>
        <v>187</v>
      </c>
      <c r="L11" s="123">
        <v>16</v>
      </c>
      <c r="M11" s="131">
        <f t="shared" si="9"/>
        <v>7.85E-2</v>
      </c>
      <c r="N11" s="116">
        <f>N8*2</f>
        <v>3.2</v>
      </c>
      <c r="O11" s="158" t="s">
        <v>31</v>
      </c>
      <c r="P11" s="116">
        <v>0.46400000000000002</v>
      </c>
      <c r="Q11" s="132">
        <v>0.3795</v>
      </c>
      <c r="R11" s="132">
        <v>0.61863000000000001</v>
      </c>
      <c r="S11" s="116">
        <v>8.5064000000000001E-2</v>
      </c>
      <c r="T11" s="131">
        <v>1.12452</v>
      </c>
      <c r="U11" s="131">
        <v>0.59104999999999996</v>
      </c>
      <c r="V11" s="124">
        <f t="shared" si="3"/>
        <v>11.178915549651588</v>
      </c>
      <c r="W11" s="124">
        <f>SQRT(9.81/T11)</f>
        <v>2.9535947794913371</v>
      </c>
      <c r="X11" s="124">
        <f t="shared" si="4"/>
        <v>80.040577161523387</v>
      </c>
      <c r="Y11" s="123">
        <f t="shared" si="5"/>
        <v>5.0025360725952117</v>
      </c>
      <c r="Z11" s="123">
        <f t="shared" si="6"/>
        <v>13.105410960904559</v>
      </c>
      <c r="AA11" s="124">
        <f t="shared" si="7"/>
        <v>0.25120000000000003</v>
      </c>
      <c r="AB11" s="131">
        <v>0.88749999999999996</v>
      </c>
      <c r="AC11" s="124" t="s">
        <v>301</v>
      </c>
    </row>
    <row r="12" spans="1:30" s="146" customFormat="1" ht="8" customHeight="1" x14ac:dyDescent="0.2">
      <c r="A12" s="145"/>
      <c r="G12" s="152"/>
      <c r="H12" s="147"/>
      <c r="I12" s="147"/>
      <c r="J12" s="148"/>
      <c r="K12" s="148"/>
      <c r="L12" s="147"/>
      <c r="Q12" s="149"/>
      <c r="R12" s="149"/>
      <c r="T12" s="150"/>
      <c r="U12" s="150"/>
      <c r="V12" s="151"/>
      <c r="W12" s="151"/>
      <c r="X12" s="151"/>
      <c r="Y12" s="147"/>
      <c r="Z12" s="147"/>
      <c r="AA12" s="151"/>
      <c r="AB12" s="151"/>
      <c r="AC12" s="151"/>
    </row>
    <row r="13" spans="1:30" s="116" customFormat="1" ht="26" customHeight="1" x14ac:dyDescent="0.2">
      <c r="A13" s="121" t="s">
        <v>376</v>
      </c>
      <c r="B13"/>
      <c r="E13"/>
      <c r="F13"/>
      <c r="G13"/>
      <c r="H13" s="123" t="e">
        <f t="shared" ref="H13:H22" si="10">D13/B13</f>
        <v>#DIV/0!</v>
      </c>
      <c r="I13" s="123">
        <f t="shared" ref="I13:I22" si="11">F13*B13/600</f>
        <v>0</v>
      </c>
      <c r="J13" s="126">
        <v>3000</v>
      </c>
      <c r="K13" s="126">
        <f t="shared" ref="K13:K22" si="12">INT(J13/L13)</f>
        <v>750</v>
      </c>
      <c r="L13" s="123">
        <v>4</v>
      </c>
      <c r="M13" s="116">
        <v>0.314</v>
      </c>
      <c r="N13" s="116">
        <f>N16/2</f>
        <v>0.8</v>
      </c>
      <c r="O13" s="116" t="s">
        <v>399</v>
      </c>
      <c r="P13" s="116">
        <v>0.46400000000000002</v>
      </c>
      <c r="Q13" s="132">
        <v>9.4820000000000002E-2</v>
      </c>
      <c r="R13" s="132">
        <v>0.15462000000000001</v>
      </c>
      <c r="S13" s="116">
        <v>4.2534000000000002E-2</v>
      </c>
      <c r="T13" s="131">
        <v>4.2342300000000002</v>
      </c>
      <c r="U13" s="131">
        <v>2.2639900000000002</v>
      </c>
      <c r="V13" s="124">
        <f t="shared" ref="V13:V22" si="13">SQRT(9.81/M13)</f>
        <v>5.5894577748257941</v>
      </c>
      <c r="W13" s="124">
        <f>SQRT(9.81/T13)</f>
        <v>1.5221143531502968</v>
      </c>
      <c r="X13" s="124">
        <f t="shared" ref="X13:X22" si="14">2*PI()/M13</f>
        <v>20.010144290380847</v>
      </c>
      <c r="Y13" s="123">
        <f t="shared" ref="Y13:Y22" si="15">X13/(L13)</f>
        <v>5.0025360725952117</v>
      </c>
      <c r="Z13" s="123" t="e">
        <f t="shared" ref="Z13:Z22" si="16">V13/B13</f>
        <v>#DIV/0!</v>
      </c>
      <c r="AA13" s="124">
        <f t="shared" ref="AA13:AA22" si="17">M13*N13</f>
        <v>0.25120000000000003</v>
      </c>
      <c r="AB13" s="131">
        <v>0.88759999999999994</v>
      </c>
      <c r="AC13" s="124" t="s">
        <v>301</v>
      </c>
    </row>
    <row r="14" spans="1:30" s="116" customFormat="1" ht="26" customHeight="1" x14ac:dyDescent="0.2">
      <c r="A14" s="121" t="s">
        <v>377</v>
      </c>
      <c r="B14">
        <v>0.94099999999999995</v>
      </c>
      <c r="E14"/>
      <c r="F14"/>
      <c r="G14"/>
      <c r="H14" s="123">
        <f t="shared" si="10"/>
        <v>0</v>
      </c>
      <c r="I14" s="123">
        <f t="shared" si="11"/>
        <v>0</v>
      </c>
      <c r="J14" s="126">
        <v>3000</v>
      </c>
      <c r="K14" s="126">
        <f t="shared" si="12"/>
        <v>375</v>
      </c>
      <c r="L14" s="123">
        <v>8</v>
      </c>
      <c r="M14" s="116">
        <v>0.314</v>
      </c>
      <c r="N14" s="116">
        <f>N17/2</f>
        <v>0.8</v>
      </c>
      <c r="O14" s="116" t="s">
        <v>31</v>
      </c>
      <c r="P14" s="116">
        <v>0.46400000000000002</v>
      </c>
      <c r="Q14" s="132">
        <v>0.15462000000000001</v>
      </c>
      <c r="R14" s="132">
        <v>0.23172000000000001</v>
      </c>
      <c r="S14" s="116">
        <v>4.2534000000000002E-2</v>
      </c>
      <c r="T14" s="131">
        <v>2.2639900000000002</v>
      </c>
      <c r="U14" s="131">
        <v>1.3142199999999999</v>
      </c>
      <c r="V14" s="124">
        <f t="shared" si="13"/>
        <v>5.5894577748257941</v>
      </c>
      <c r="W14" s="124">
        <f t="shared" ref="W14:W21" si="18">SQRT(9.81/T14)</f>
        <v>2.0815998674593419</v>
      </c>
      <c r="X14" s="124">
        <f t="shared" si="14"/>
        <v>20.010144290380847</v>
      </c>
      <c r="Y14" s="123">
        <f t="shared" si="15"/>
        <v>2.5012680362976059</v>
      </c>
      <c r="Z14" s="123">
        <f t="shared" si="16"/>
        <v>5.9399126193685383</v>
      </c>
      <c r="AA14" s="124">
        <f t="shared" si="17"/>
        <v>0.25120000000000003</v>
      </c>
      <c r="AB14" s="131">
        <v>0.70109999999999995</v>
      </c>
      <c r="AC14" s="124" t="s">
        <v>301</v>
      </c>
    </row>
    <row r="15" spans="1:30" s="116" customFormat="1" ht="26" customHeight="1" x14ac:dyDescent="0.2">
      <c r="A15" s="121" t="s">
        <v>378</v>
      </c>
      <c r="B15">
        <v>0.752</v>
      </c>
      <c r="E15"/>
      <c r="F15"/>
      <c r="G15"/>
      <c r="H15" s="123">
        <f t="shared" si="10"/>
        <v>0</v>
      </c>
      <c r="I15" s="123">
        <f t="shared" si="11"/>
        <v>0</v>
      </c>
      <c r="J15" s="126">
        <v>3000</v>
      </c>
      <c r="K15" s="126">
        <f t="shared" si="12"/>
        <v>187</v>
      </c>
      <c r="L15" s="123">
        <v>16</v>
      </c>
      <c r="M15" s="116">
        <v>0.314</v>
      </c>
      <c r="N15" s="116">
        <f>N19/2</f>
        <v>0.8</v>
      </c>
      <c r="O15" s="116" t="s">
        <v>31</v>
      </c>
      <c r="P15" s="116">
        <v>0.46400000000000002</v>
      </c>
      <c r="Q15" s="132">
        <v>0.23172000000000001</v>
      </c>
      <c r="R15" s="132">
        <v>0.27948000000000001</v>
      </c>
      <c r="S15" s="116">
        <v>4.2534000000000002E-2</v>
      </c>
      <c r="T15" s="131">
        <v>1.3142199999999999</v>
      </c>
      <c r="U15" s="131">
        <v>0.99758999999999998</v>
      </c>
      <c r="V15" s="124">
        <f t="shared" si="13"/>
        <v>5.5894577748257941</v>
      </c>
      <c r="W15" s="124">
        <f t="shared" si="18"/>
        <v>2.7321243858883162</v>
      </c>
      <c r="X15" s="124">
        <f t="shared" si="14"/>
        <v>20.010144290380847</v>
      </c>
      <c r="Y15" s="123">
        <f t="shared" si="15"/>
        <v>1.2506340181488029</v>
      </c>
      <c r="Z15" s="123">
        <f t="shared" si="16"/>
        <v>7.4327895941832365</v>
      </c>
      <c r="AA15" s="124">
        <f t="shared" si="17"/>
        <v>0.25120000000000003</v>
      </c>
      <c r="AB15" s="131">
        <v>0.32869999999999999</v>
      </c>
      <c r="AC15" s="124" t="s">
        <v>301</v>
      </c>
    </row>
    <row r="16" spans="1:30" s="116" customFormat="1" ht="26" customHeight="1" x14ac:dyDescent="0.2">
      <c r="A16" s="121" t="s">
        <v>379</v>
      </c>
      <c r="B16"/>
      <c r="E16"/>
      <c r="F16"/>
      <c r="G16"/>
      <c r="H16" s="123" t="e">
        <f t="shared" si="10"/>
        <v>#DIV/0!</v>
      </c>
      <c r="I16" s="123">
        <f t="shared" si="11"/>
        <v>0</v>
      </c>
      <c r="J16" s="126">
        <v>3000</v>
      </c>
      <c r="K16" s="126">
        <f t="shared" si="12"/>
        <v>750</v>
      </c>
      <c r="L16" s="123">
        <v>4</v>
      </c>
      <c r="M16" s="116">
        <v>0.157</v>
      </c>
      <c r="N16" s="116">
        <v>1.6</v>
      </c>
      <c r="O16" s="116" t="s">
        <v>399</v>
      </c>
      <c r="P16" s="116">
        <v>0.46400000000000002</v>
      </c>
      <c r="Q16" s="132">
        <v>0.11366</v>
      </c>
      <c r="R16" s="132">
        <v>0.18972</v>
      </c>
      <c r="S16" s="116">
        <v>6.0149000000000001E-2</v>
      </c>
      <c r="T16" s="131">
        <v>4.20207</v>
      </c>
      <c r="U16" s="131">
        <v>2.1940200000000001</v>
      </c>
      <c r="V16" s="124">
        <f t="shared" si="13"/>
        <v>7.9046869914703786</v>
      </c>
      <c r="W16" s="124">
        <f t="shared" si="18"/>
        <v>1.5279279038388798</v>
      </c>
      <c r="X16" s="124">
        <f t="shared" si="14"/>
        <v>40.020288580761694</v>
      </c>
      <c r="Y16" s="123">
        <f t="shared" si="15"/>
        <v>10.005072145190423</v>
      </c>
      <c r="Z16" s="123" t="e">
        <f t="shared" si="16"/>
        <v>#DIV/0!</v>
      </c>
      <c r="AA16" s="124">
        <f t="shared" si="17"/>
        <v>0.25120000000000003</v>
      </c>
      <c r="AB16" s="131">
        <v>0.95960000000000001</v>
      </c>
      <c r="AC16" s="124" t="s">
        <v>301</v>
      </c>
    </row>
    <row r="17" spans="1:29" s="116" customFormat="1" ht="26" customHeight="1" x14ac:dyDescent="0.2">
      <c r="A17" s="121" t="s">
        <v>380</v>
      </c>
      <c r="B17" s="154">
        <v>1.0189999999999999</v>
      </c>
      <c r="E17"/>
      <c r="F17"/>
      <c r="G17"/>
      <c r="H17" s="123">
        <f t="shared" si="10"/>
        <v>0</v>
      </c>
      <c r="I17" s="123">
        <f t="shared" si="11"/>
        <v>0</v>
      </c>
      <c r="J17" s="126">
        <v>3000</v>
      </c>
      <c r="K17" s="126">
        <f t="shared" si="12"/>
        <v>375</v>
      </c>
      <c r="L17" s="123">
        <v>8</v>
      </c>
      <c r="M17" s="116">
        <v>0.157</v>
      </c>
      <c r="N17" s="116">
        <v>1.6</v>
      </c>
      <c r="O17" s="116" t="s">
        <v>31</v>
      </c>
      <c r="P17" s="116">
        <v>0.46400000000000002</v>
      </c>
      <c r="Q17" s="132">
        <v>0.18972</v>
      </c>
      <c r="R17" s="132">
        <v>0.30929000000000001</v>
      </c>
      <c r="S17" s="116">
        <v>6.0149000000000001E-2</v>
      </c>
      <c r="T17" s="131">
        <v>2.1940200000000001</v>
      </c>
      <c r="U17" s="131">
        <v>1.16127</v>
      </c>
      <c r="V17" s="124">
        <f t="shared" si="13"/>
        <v>7.9046869914703786</v>
      </c>
      <c r="W17" s="124">
        <f t="shared" si="18"/>
        <v>2.1145317601709168</v>
      </c>
      <c r="X17" s="124">
        <f t="shared" si="14"/>
        <v>40.020288580761694</v>
      </c>
      <c r="Y17" s="123">
        <f t="shared" si="15"/>
        <v>5.0025360725952117</v>
      </c>
      <c r="Z17" s="123">
        <f t="shared" si="16"/>
        <v>7.7572983233271628</v>
      </c>
      <c r="AA17" s="124">
        <f t="shared" si="17"/>
        <v>0.25120000000000003</v>
      </c>
      <c r="AB17" s="131">
        <v>0.88749999999999996</v>
      </c>
      <c r="AC17" s="124" t="s">
        <v>301</v>
      </c>
    </row>
    <row r="18" spans="1:29" s="116" customFormat="1" ht="26" customHeight="1" x14ac:dyDescent="0.2">
      <c r="A18" s="121" t="s">
        <v>400</v>
      </c>
      <c r="B18" s="154"/>
      <c r="E18"/>
      <c r="F18"/>
      <c r="G18"/>
      <c r="H18" s="123" t="e">
        <f t="shared" ref="H18" si="19">D18/B18</f>
        <v>#DIV/0!</v>
      </c>
      <c r="I18" s="123">
        <f t="shared" ref="I18" si="20">F18*B18/600</f>
        <v>0</v>
      </c>
      <c r="J18" s="126">
        <v>6000</v>
      </c>
      <c r="K18" s="126">
        <v>750</v>
      </c>
      <c r="L18" s="123">
        <v>8</v>
      </c>
      <c r="M18" s="116">
        <v>0.157</v>
      </c>
      <c r="N18" s="116">
        <v>1.6</v>
      </c>
      <c r="O18" s="116" t="s">
        <v>401</v>
      </c>
      <c r="P18" s="116">
        <v>0.46400000000000002</v>
      </c>
      <c r="Q18" s="132">
        <v>0.18972</v>
      </c>
      <c r="R18" s="132">
        <v>0.30929000000000001</v>
      </c>
      <c r="S18" s="116">
        <v>6.0149000000000001E-2</v>
      </c>
      <c r="T18" s="131">
        <v>2.1940200000000001</v>
      </c>
      <c r="U18" s="131">
        <v>1.16127</v>
      </c>
      <c r="V18" s="124">
        <f t="shared" ref="V18" si="21">SQRT(9.81/M18)</f>
        <v>7.9046869914703786</v>
      </c>
      <c r="W18" s="124">
        <f t="shared" ref="W18" si="22">SQRT(9.81/T18)</f>
        <v>2.1145317601709168</v>
      </c>
      <c r="X18" s="124">
        <f t="shared" ref="X18" si="23">2*PI()/M18</f>
        <v>40.020288580761694</v>
      </c>
      <c r="Y18" s="123">
        <f t="shared" ref="Y18" si="24">X18/(L18)</f>
        <v>5.0025360725952117</v>
      </c>
      <c r="Z18" s="123" t="e">
        <f t="shared" ref="Z18" si="25">V18/B18</f>
        <v>#DIV/0!</v>
      </c>
      <c r="AA18" s="124">
        <f t="shared" ref="AA18" si="26">M18*N18</f>
        <v>0.25120000000000003</v>
      </c>
      <c r="AB18" s="131">
        <v>0.88749999999999996</v>
      </c>
      <c r="AC18" s="124" t="s">
        <v>301</v>
      </c>
    </row>
    <row r="19" spans="1:29" s="116" customFormat="1" ht="26" customHeight="1" x14ac:dyDescent="0.2">
      <c r="A19" s="121" t="s">
        <v>381</v>
      </c>
      <c r="B19">
        <v>0.90200000000000002</v>
      </c>
      <c r="E19"/>
      <c r="F19"/>
      <c r="G19"/>
      <c r="H19" s="123">
        <f t="shared" si="10"/>
        <v>0</v>
      </c>
      <c r="I19" s="123">
        <f t="shared" si="11"/>
        <v>0</v>
      </c>
      <c r="J19" s="126">
        <v>3000</v>
      </c>
      <c r="K19" s="126">
        <f t="shared" si="12"/>
        <v>187</v>
      </c>
      <c r="L19" s="123">
        <v>16</v>
      </c>
      <c r="M19" s="116">
        <v>0.157</v>
      </c>
      <c r="N19" s="116">
        <v>1.6</v>
      </c>
      <c r="O19" s="116" t="s">
        <v>31</v>
      </c>
      <c r="P19" s="116">
        <v>0.46400000000000002</v>
      </c>
      <c r="Q19" s="132">
        <v>0.30929000000000001</v>
      </c>
      <c r="R19" s="132">
        <v>0.46346999999999999</v>
      </c>
      <c r="S19" s="116">
        <v>6.0149000000000001E-2</v>
      </c>
      <c r="T19" s="131">
        <v>1.16127</v>
      </c>
      <c r="U19" s="131">
        <v>0.67022000000000004</v>
      </c>
      <c r="V19" s="124">
        <f t="shared" si="13"/>
        <v>7.9046869914703786</v>
      </c>
      <c r="W19" s="124">
        <f t="shared" si="18"/>
        <v>2.9064837577108689</v>
      </c>
      <c r="X19" s="124">
        <f t="shared" si="14"/>
        <v>40.020288580761694</v>
      </c>
      <c r="Y19" s="123">
        <f t="shared" si="15"/>
        <v>2.5012680362976059</v>
      </c>
      <c r="Z19" s="123">
        <f t="shared" si="16"/>
        <v>8.7635110770181583</v>
      </c>
      <c r="AA19" s="124">
        <f t="shared" si="17"/>
        <v>0.25120000000000003</v>
      </c>
      <c r="AB19" s="131">
        <v>0.70099999999999996</v>
      </c>
      <c r="AC19" s="124" t="s">
        <v>301</v>
      </c>
    </row>
    <row r="20" spans="1:29" s="116" customFormat="1" ht="26" customHeight="1" x14ac:dyDescent="0.2">
      <c r="A20" s="121" t="s">
        <v>382</v>
      </c>
      <c r="G20" s="127"/>
      <c r="H20" s="123" t="e">
        <f t="shared" si="10"/>
        <v>#DIV/0!</v>
      </c>
      <c r="I20" s="123">
        <f t="shared" si="11"/>
        <v>0</v>
      </c>
      <c r="J20" s="126">
        <v>3000</v>
      </c>
      <c r="K20" s="126">
        <f t="shared" si="12"/>
        <v>750</v>
      </c>
      <c r="L20" s="123">
        <v>4</v>
      </c>
      <c r="M20" s="116">
        <v>7.85E-2</v>
      </c>
      <c r="N20" s="116">
        <f>N16*2</f>
        <v>3.2</v>
      </c>
      <c r="O20" s="116" t="s">
        <v>399</v>
      </c>
      <c r="P20" s="116">
        <v>0.46400000000000002</v>
      </c>
      <c r="Q20" s="132">
        <v>0.13544</v>
      </c>
      <c r="R20" s="132">
        <v>0.22742999999999999</v>
      </c>
      <c r="S20" s="116">
        <v>8.5064000000000001E-2</v>
      </c>
      <c r="T20" s="131">
        <v>4.1940499999999998</v>
      </c>
      <c r="U20" s="131">
        <v>2.1767300000000001</v>
      </c>
      <c r="V20" s="124">
        <f t="shared" si="13"/>
        <v>11.178915549651588</v>
      </c>
      <c r="W20" s="124">
        <f t="shared" si="18"/>
        <v>1.5293880830530819</v>
      </c>
      <c r="X20" s="124">
        <f t="shared" si="14"/>
        <v>80.040577161523387</v>
      </c>
      <c r="Y20" s="123">
        <f t="shared" si="15"/>
        <v>20.010144290380847</v>
      </c>
      <c r="Z20" s="123" t="e">
        <f t="shared" si="16"/>
        <v>#DIV/0!</v>
      </c>
      <c r="AA20" s="124">
        <f t="shared" si="17"/>
        <v>0.25120000000000003</v>
      </c>
      <c r="AB20" s="131">
        <v>0.98570000000000002</v>
      </c>
      <c r="AC20" s="124" t="s">
        <v>301</v>
      </c>
    </row>
    <row r="21" spans="1:29" s="116" customFormat="1" ht="26" customHeight="1" x14ac:dyDescent="0.2">
      <c r="A21" s="121" t="s">
        <v>383</v>
      </c>
      <c r="B21" s="116">
        <v>1.0209999999999999</v>
      </c>
      <c r="G21" s="127"/>
      <c r="H21" s="123">
        <f t="shared" si="10"/>
        <v>0</v>
      </c>
      <c r="I21" s="123">
        <f t="shared" si="11"/>
        <v>0</v>
      </c>
      <c r="J21" s="126">
        <v>3000</v>
      </c>
      <c r="K21" s="126">
        <f t="shared" si="12"/>
        <v>375</v>
      </c>
      <c r="L21" s="123">
        <v>8</v>
      </c>
      <c r="M21" s="116">
        <v>7.85E-2</v>
      </c>
      <c r="N21" s="116">
        <f>N17*2</f>
        <v>3.2</v>
      </c>
      <c r="O21" s="116" t="s">
        <v>31</v>
      </c>
      <c r="P21" s="116">
        <v>0.46400000000000002</v>
      </c>
      <c r="Q21" s="132">
        <v>0.22742999999999999</v>
      </c>
      <c r="R21" s="132">
        <v>0.3795</v>
      </c>
      <c r="S21" s="116">
        <v>8.5064000000000001E-2</v>
      </c>
      <c r="T21" s="131">
        <v>2.1767300000000001</v>
      </c>
      <c r="U21" s="131">
        <v>1.12452</v>
      </c>
      <c r="V21" s="124">
        <f t="shared" si="13"/>
        <v>11.178915549651588</v>
      </c>
      <c r="W21" s="124">
        <f t="shared" si="18"/>
        <v>2.1229131259216225</v>
      </c>
      <c r="X21" s="124">
        <f t="shared" si="14"/>
        <v>80.040577161523387</v>
      </c>
      <c r="Y21" s="123">
        <f t="shared" si="15"/>
        <v>10.005072145190423</v>
      </c>
      <c r="Z21" s="123">
        <f t="shared" si="16"/>
        <v>10.948986826299304</v>
      </c>
      <c r="AA21" s="124">
        <f t="shared" si="17"/>
        <v>0.25120000000000003</v>
      </c>
      <c r="AB21" s="131">
        <v>0.95960000000000001</v>
      </c>
      <c r="AC21" s="124" t="s">
        <v>301</v>
      </c>
    </row>
    <row r="22" spans="1:29" s="116" customFormat="1" ht="26" customHeight="1" x14ac:dyDescent="0.2">
      <c r="A22" s="121" t="s">
        <v>384</v>
      </c>
      <c r="B22" s="116">
        <v>0.92400000000000004</v>
      </c>
      <c r="G22" s="127"/>
      <c r="H22" s="123">
        <f t="shared" si="10"/>
        <v>0</v>
      </c>
      <c r="I22" s="123">
        <f t="shared" si="11"/>
        <v>0</v>
      </c>
      <c r="J22" s="126">
        <v>3000</v>
      </c>
      <c r="K22" s="126">
        <f t="shared" si="12"/>
        <v>187</v>
      </c>
      <c r="L22" s="123">
        <v>16</v>
      </c>
      <c r="M22" s="116">
        <v>7.85E-2</v>
      </c>
      <c r="N22" s="116">
        <f>N19*2</f>
        <v>3.2</v>
      </c>
      <c r="O22" s="116" t="s">
        <v>31</v>
      </c>
      <c r="P22" s="116">
        <v>0.46400000000000002</v>
      </c>
      <c r="Q22" s="132">
        <v>0.3795</v>
      </c>
      <c r="R22" s="132">
        <v>0.61863000000000001</v>
      </c>
      <c r="S22" s="116">
        <v>8.5064000000000001E-2</v>
      </c>
      <c r="T22" s="131">
        <v>1.12452</v>
      </c>
      <c r="U22" s="131">
        <v>0.59104999999999996</v>
      </c>
      <c r="V22" s="124">
        <f t="shared" si="13"/>
        <v>11.178915549651588</v>
      </c>
      <c r="W22" s="124">
        <f>SQRT(9.81/T22)</f>
        <v>2.9535947794913371</v>
      </c>
      <c r="X22" s="124">
        <f t="shared" si="14"/>
        <v>80.040577161523387</v>
      </c>
      <c r="Y22" s="123">
        <f t="shared" si="15"/>
        <v>5.0025360725952117</v>
      </c>
      <c r="Z22" s="123">
        <f t="shared" si="16"/>
        <v>12.098393452003883</v>
      </c>
      <c r="AA22" s="124">
        <f t="shared" si="17"/>
        <v>0.25120000000000003</v>
      </c>
      <c r="AB22" s="131">
        <v>0.88749999999999996</v>
      </c>
      <c r="AC22" s="124" t="s">
        <v>301</v>
      </c>
    </row>
    <row r="25" spans="1:29" x14ac:dyDescent="0.2">
      <c r="S25" s="128"/>
    </row>
    <row r="49" spans="19:19" x14ac:dyDescent="0.2">
      <c r="S49" t="s">
        <v>386</v>
      </c>
    </row>
    <row r="50" spans="19:19" x14ac:dyDescent="0.2">
      <c r="S50" t="s">
        <v>387</v>
      </c>
    </row>
    <row r="51" spans="19:19" x14ac:dyDescent="0.2">
      <c r="S51" t="s">
        <v>388</v>
      </c>
    </row>
  </sheetData>
  <mergeCells count="2">
    <mergeCell ref="P1:U1"/>
    <mergeCell ref="K1:N1"/>
  </mergeCells>
  <conditionalFormatting sqref="O3:O7 O12:O22">
    <cfRule type="containsText" dxfId="41" priority="1" stopIfTrue="1" operator="containsText" text="bad">
      <formula>NOT(ISERROR(SEARCH("bad",O3)))</formula>
    </cfRule>
    <cfRule type="containsText" dxfId="40" priority="2" stopIfTrue="1" operator="containsText" text="error">
      <formula>NOT(ISERROR(SEARCH("error",O3)))</formula>
    </cfRule>
    <cfRule type="containsText" dxfId="39" priority="3" stopIfTrue="1" operator="containsText" text="running">
      <formula>NOT(ISERROR(SEARCH("running",O3)))</formula>
    </cfRule>
    <cfRule type="containsText" dxfId="38" priority="4" operator="containsText" text="done">
      <formula>NOT(ISERROR(SEARCH("done",O3)))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2030-3BE3-024B-BCF9-320214AB8E92}">
  <dimension ref="A1:AE231"/>
  <sheetViews>
    <sheetView zoomScaleNormal="100" workbookViewId="0">
      <pane xSplit="2" ySplit="6" topLeftCell="V7" activePane="bottomRight" state="frozen"/>
      <selection pane="topRight" activeCell="C1" sqref="C1"/>
      <selection pane="bottomLeft" activeCell="A7" sqref="A7"/>
      <selection pane="bottomRight" activeCell="AA8" sqref="AA8"/>
    </sheetView>
  </sheetViews>
  <sheetFormatPr baseColWidth="10" defaultRowHeight="17" x14ac:dyDescent="0.2"/>
  <cols>
    <col min="1" max="1" width="14.83203125" style="96" customWidth="1"/>
    <col min="2" max="2" width="17.33203125" style="96" customWidth="1"/>
    <col min="3" max="3" width="15.1640625" style="97" customWidth="1"/>
    <col min="4" max="4" width="12" style="97" customWidth="1"/>
    <col min="5" max="6" width="12.33203125" style="97" customWidth="1"/>
    <col min="7" max="7" width="16.1640625" style="97" customWidth="1"/>
    <col min="8" max="8" width="16.83203125" style="97" customWidth="1"/>
    <col min="9" max="9" width="12" style="97" customWidth="1"/>
    <col min="10" max="10" width="10.83203125" style="97"/>
    <col min="11" max="12" width="13.1640625" style="97" customWidth="1"/>
    <col min="13" max="13" width="12.1640625" style="97" bestFit="1" customWidth="1"/>
    <col min="14" max="17" width="10.83203125" style="97"/>
    <col min="18" max="18" width="11.5" style="97" customWidth="1"/>
    <col min="19" max="20" width="10.83203125" style="97"/>
    <col min="21" max="21" width="8.5" style="97" customWidth="1"/>
    <col min="22" max="22" width="13.83203125" style="97" customWidth="1"/>
    <col min="23" max="23" width="16.33203125" style="97" customWidth="1"/>
    <col min="24" max="25" width="16.83203125" style="97" customWidth="1"/>
    <col min="26" max="26" width="12.83203125" style="100" customWidth="1"/>
    <col min="27" max="27" width="13.5" style="100" customWidth="1"/>
    <col min="28" max="28" width="8.33203125" style="97" customWidth="1"/>
    <col min="29" max="29" width="1.5" style="97" customWidth="1"/>
    <col min="30" max="30" width="45.5" style="98" customWidth="1"/>
    <col min="31" max="31" width="43.6640625" style="99" customWidth="1"/>
    <col min="32" max="16384" width="10.83203125" style="97"/>
  </cols>
  <sheetData>
    <row r="1" spans="1:31" x14ac:dyDescent="0.2">
      <c r="C1" s="6"/>
      <c r="E1" s="6"/>
      <c r="F1" s="6"/>
      <c r="Y1" s="179" t="s">
        <v>33</v>
      </c>
      <c r="Z1" s="179"/>
      <c r="AA1" s="179"/>
      <c r="AB1" s="179"/>
    </row>
    <row r="2" spans="1:31" x14ac:dyDescent="0.2">
      <c r="C2" s="6"/>
      <c r="E2" s="6"/>
      <c r="F2" s="6"/>
      <c r="Z2" s="97"/>
      <c r="AA2" s="97"/>
    </row>
    <row r="3" spans="1:31" x14ac:dyDescent="0.2">
      <c r="E3" s="186" t="s">
        <v>189</v>
      </c>
      <c r="F3" s="186"/>
      <c r="G3" s="186"/>
      <c r="H3" s="97">
        <v>126</v>
      </c>
      <c r="K3" s="97" t="s">
        <v>132</v>
      </c>
      <c r="M3" s="97">
        <v>600</v>
      </c>
      <c r="X3" s="99" t="s">
        <v>147</v>
      </c>
      <c r="Z3" s="97"/>
    </row>
    <row r="4" spans="1:31" x14ac:dyDescent="0.2">
      <c r="B4" s="177"/>
      <c r="C4" s="180" t="s">
        <v>184</v>
      </c>
      <c r="D4" s="180"/>
      <c r="E4" s="180"/>
      <c r="F4" s="180"/>
      <c r="G4" s="180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2"/>
      <c r="AA4" s="182"/>
      <c r="AB4" s="182"/>
      <c r="AC4" s="182"/>
      <c r="AD4" s="182"/>
      <c r="AE4" s="182"/>
    </row>
    <row r="5" spans="1:31" x14ac:dyDescent="0.2">
      <c r="B5" s="177"/>
      <c r="C5" s="180"/>
      <c r="D5" s="180"/>
      <c r="E5" s="180"/>
      <c r="F5" s="180"/>
      <c r="G5" s="180"/>
      <c r="H5" s="183" t="s">
        <v>137</v>
      </c>
      <c r="I5" s="183"/>
      <c r="J5" s="183"/>
      <c r="K5" s="184" t="s">
        <v>136</v>
      </c>
      <c r="L5" s="184"/>
      <c r="M5" s="184"/>
      <c r="N5" s="184"/>
      <c r="O5" s="184"/>
      <c r="P5" s="184"/>
      <c r="Q5" s="184"/>
      <c r="R5" s="184"/>
      <c r="S5" s="184"/>
      <c r="T5" s="185" t="s">
        <v>139</v>
      </c>
      <c r="U5" s="185"/>
      <c r="V5" s="185"/>
      <c r="W5" s="185"/>
      <c r="X5" s="185"/>
      <c r="Y5" s="185"/>
      <c r="Z5" s="182"/>
      <c r="AA5" s="182"/>
      <c r="AB5" s="182"/>
      <c r="AC5" s="182"/>
      <c r="AD5" s="182"/>
      <c r="AE5" s="182"/>
    </row>
    <row r="6" spans="1:31" s="6" customFormat="1" ht="18" x14ac:dyDescent="0.2">
      <c r="A6" s="10" t="s">
        <v>0</v>
      </c>
      <c r="B6" s="10" t="s">
        <v>203</v>
      </c>
      <c r="C6" s="6" t="s">
        <v>186</v>
      </c>
      <c r="D6" s="6" t="s">
        <v>185</v>
      </c>
      <c r="E6" s="110" t="s">
        <v>187</v>
      </c>
      <c r="F6" s="6" t="s">
        <v>190</v>
      </c>
      <c r="G6" s="6" t="s">
        <v>188</v>
      </c>
      <c r="H6" s="6" t="s">
        <v>124</v>
      </c>
      <c r="I6" s="6" t="s">
        <v>121</v>
      </c>
      <c r="J6" s="6" t="s">
        <v>15</v>
      </c>
      <c r="K6" s="110" t="s">
        <v>191</v>
      </c>
      <c r="L6" s="6" t="s">
        <v>200</v>
      </c>
      <c r="M6" s="6" t="s">
        <v>193</v>
      </c>
      <c r="N6" s="110" t="s">
        <v>192</v>
      </c>
      <c r="O6" s="6" t="s">
        <v>197</v>
      </c>
      <c r="P6" s="6" t="s">
        <v>198</v>
      </c>
      <c r="Q6" s="51" t="s">
        <v>194</v>
      </c>
      <c r="R6" s="110" t="s">
        <v>195</v>
      </c>
      <c r="S6" s="51" t="s">
        <v>204</v>
      </c>
      <c r="T6" s="6" t="s">
        <v>19</v>
      </c>
      <c r="U6" s="6" t="s">
        <v>122</v>
      </c>
      <c r="V6" s="6" t="s">
        <v>218</v>
      </c>
      <c r="W6" s="6" t="s">
        <v>21</v>
      </c>
      <c r="X6" s="6" t="s">
        <v>105</v>
      </c>
      <c r="Y6" s="6" t="s">
        <v>16</v>
      </c>
      <c r="Z6" s="6" t="s">
        <v>196</v>
      </c>
      <c r="AA6" s="17" t="s">
        <v>30</v>
      </c>
      <c r="AB6" s="6" t="s">
        <v>28</v>
      </c>
      <c r="AD6" s="178" t="s">
        <v>17</v>
      </c>
      <c r="AE6" s="178"/>
    </row>
    <row r="7" spans="1:31" ht="38" customHeight="1" x14ac:dyDescent="0.2">
      <c r="A7" s="112" t="s">
        <v>199</v>
      </c>
      <c r="B7" s="96" t="s">
        <v>199</v>
      </c>
      <c r="C7" s="97">
        <v>600</v>
      </c>
      <c r="D7" s="97">
        <v>0.59499999999999997</v>
      </c>
      <c r="E7" s="111">
        <v>11.8</v>
      </c>
      <c r="F7" s="106">
        <v>16</v>
      </c>
      <c r="H7" s="101">
        <f t="shared" ref="H7:H13" si="0">H$3*F7/0.000018</f>
        <v>112000000</v>
      </c>
      <c r="I7" s="102">
        <v>6</v>
      </c>
      <c r="J7" s="97">
        <v>7</v>
      </c>
      <c r="K7" s="113">
        <f t="shared" ref="K7:K13" si="1">9.81/R7^2</f>
        <v>0.10824182614222161</v>
      </c>
      <c r="L7" s="103">
        <f t="shared" ref="L7:L13" si="2">2*PI()/K7</f>
        <v>58.04766540915481</v>
      </c>
      <c r="M7" s="102">
        <f t="shared" ref="M7:M13" si="3">(N7/4)^2  / (0.000000167) / E7^2 * 9.81</f>
        <v>72916.082551589512</v>
      </c>
      <c r="N7" s="114">
        <f>Q7/K7</f>
        <v>1.6629431192660549</v>
      </c>
      <c r="O7" s="107">
        <v>2.9920260000000001</v>
      </c>
      <c r="P7" s="107">
        <v>5.8800188999999996</v>
      </c>
      <c r="Q7" s="109">
        <v>0.18</v>
      </c>
      <c r="R7" s="113">
        <f t="shared" ref="R7:R12" si="4">S7*D7</f>
        <v>9.52</v>
      </c>
      <c r="S7" s="105">
        <v>16</v>
      </c>
      <c r="T7" s="97">
        <v>0.2</v>
      </c>
      <c r="U7" s="97">
        <v>10000</v>
      </c>
      <c r="V7" s="102">
        <f>U7/E7</f>
        <v>847.45762711864404</v>
      </c>
      <c r="W7" s="106"/>
      <c r="Y7" s="107"/>
      <c r="Z7" s="108" t="s">
        <v>222</v>
      </c>
      <c r="AA7" s="100" t="s">
        <v>217</v>
      </c>
      <c r="AB7" s="97" t="s">
        <v>212</v>
      </c>
    </row>
    <row r="8" spans="1:31" ht="38" customHeight="1" x14ac:dyDescent="0.2">
      <c r="A8" s="112" t="s">
        <v>4</v>
      </c>
      <c r="B8" s="96" t="s">
        <v>201</v>
      </c>
      <c r="C8" s="97">
        <v>600</v>
      </c>
      <c r="D8" s="97">
        <v>0.29099999999999998</v>
      </c>
      <c r="E8" s="111">
        <v>6.04</v>
      </c>
      <c r="F8" s="106">
        <v>7.8</v>
      </c>
      <c r="G8" s="97">
        <v>9.7100000000000006E-2</v>
      </c>
      <c r="H8" s="101">
        <f t="shared" si="0"/>
        <v>54599999.999999993</v>
      </c>
      <c r="I8" s="102">
        <v>6</v>
      </c>
      <c r="J8" s="97">
        <v>7</v>
      </c>
      <c r="K8" s="113">
        <f t="shared" si="1"/>
        <v>0.45252550749282611</v>
      </c>
      <c r="L8" s="103">
        <f t="shared" si="2"/>
        <v>13.884709708389629</v>
      </c>
      <c r="M8" s="102">
        <f t="shared" si="3"/>
        <v>15922.731006998742</v>
      </c>
      <c r="N8" s="114">
        <f>Q8/K8</f>
        <v>0.39776763302752283</v>
      </c>
      <c r="O8" s="107">
        <v>1.9638800000000001</v>
      </c>
      <c r="P8" s="107">
        <v>3.0312459999999999</v>
      </c>
      <c r="Q8" s="109">
        <f>Q7</f>
        <v>0.18</v>
      </c>
      <c r="R8" s="113">
        <f t="shared" si="4"/>
        <v>4.6559999999999997</v>
      </c>
      <c r="S8" s="105">
        <f>S7</f>
        <v>16</v>
      </c>
      <c r="U8" s="97">
        <v>10000</v>
      </c>
      <c r="V8" s="102">
        <f>U8/E8</f>
        <v>1655.6291390728477</v>
      </c>
      <c r="W8" s="106"/>
      <c r="Y8" s="107"/>
      <c r="Z8" s="108" t="s">
        <v>223</v>
      </c>
      <c r="AA8" s="100" t="s">
        <v>221</v>
      </c>
      <c r="AB8" s="97" t="s">
        <v>214</v>
      </c>
    </row>
    <row r="9" spans="1:31" ht="38" customHeight="1" x14ac:dyDescent="0.2">
      <c r="A9" s="112" t="s">
        <v>23</v>
      </c>
      <c r="B9" s="96" t="s">
        <v>207</v>
      </c>
      <c r="C9" s="97">
        <v>600</v>
      </c>
      <c r="D9" s="97">
        <v>0.59499999999999997</v>
      </c>
      <c r="E9" s="111">
        <v>11.8</v>
      </c>
      <c r="F9" s="106">
        <v>16</v>
      </c>
      <c r="H9" s="101">
        <f t="shared" si="0"/>
        <v>112000000</v>
      </c>
      <c r="I9" s="102">
        <v>6</v>
      </c>
      <c r="J9" s="97">
        <v>7</v>
      </c>
      <c r="K9" s="113">
        <f t="shared" si="1"/>
        <v>0.22900749993726224</v>
      </c>
      <c r="L9" s="103">
        <f t="shared" si="2"/>
        <v>27.436591853545828</v>
      </c>
      <c r="M9" s="102">
        <f t="shared" si="3"/>
        <v>16289.739450650362</v>
      </c>
      <c r="N9" s="114">
        <f>Q13/K9</f>
        <v>0.78600045871559621</v>
      </c>
      <c r="O9" s="107">
        <v>2.4444050000000002</v>
      </c>
      <c r="P9" s="107">
        <v>4.5302899999999999</v>
      </c>
      <c r="Q9" s="109">
        <f>K9*N9</f>
        <v>0.18</v>
      </c>
      <c r="R9" s="113">
        <f t="shared" si="4"/>
        <v>6.5449999999999999</v>
      </c>
      <c r="S9" s="105">
        <v>11</v>
      </c>
      <c r="U9" s="97">
        <v>10000</v>
      </c>
      <c r="V9" s="102">
        <f>U9/E9</f>
        <v>847.45762711864404</v>
      </c>
      <c r="W9" s="106"/>
      <c r="Y9" s="107"/>
      <c r="Z9" s="100" t="s">
        <v>224</v>
      </c>
      <c r="AA9" s="100" t="s">
        <v>221</v>
      </c>
      <c r="AB9" s="97" t="s">
        <v>215</v>
      </c>
    </row>
    <row r="10" spans="1:31" ht="38" customHeight="1" x14ac:dyDescent="0.2">
      <c r="A10" s="96" t="s">
        <v>24</v>
      </c>
      <c r="B10" s="96" t="s">
        <v>208</v>
      </c>
      <c r="C10" s="97">
        <v>600</v>
      </c>
      <c r="D10" s="97">
        <v>0.59499999999999997</v>
      </c>
      <c r="E10" s="111">
        <v>11.8</v>
      </c>
      <c r="F10" s="106">
        <v>16</v>
      </c>
      <c r="H10" s="101">
        <f t="shared" si="0"/>
        <v>112000000</v>
      </c>
      <c r="I10" s="102">
        <v>6</v>
      </c>
      <c r="J10" s="97">
        <v>7</v>
      </c>
      <c r="K10" s="113">
        <f t="shared" si="1"/>
        <v>6.9274768731021841E-2</v>
      </c>
      <c r="L10" s="103">
        <f t="shared" si="2"/>
        <v>90.699477201804385</v>
      </c>
      <c r="M10" s="102">
        <f t="shared" si="3"/>
        <v>178017.7796669665</v>
      </c>
      <c r="N10" s="114">
        <f>Q9/K10</f>
        <v>2.5983486238532101</v>
      </c>
      <c r="P10" s="107"/>
      <c r="Q10" s="109">
        <f>K10*N10</f>
        <v>0.18</v>
      </c>
      <c r="R10" s="113">
        <f t="shared" si="4"/>
        <v>11.899999999999999</v>
      </c>
      <c r="S10" s="105">
        <v>20</v>
      </c>
      <c r="V10" s="102"/>
      <c r="W10" s="106"/>
      <c r="Y10" s="107"/>
    </row>
    <row r="11" spans="1:31" ht="38" customHeight="1" x14ac:dyDescent="0.2">
      <c r="A11" s="112" t="s">
        <v>25</v>
      </c>
      <c r="B11" s="96" t="s">
        <v>202</v>
      </c>
      <c r="C11" s="97">
        <v>600</v>
      </c>
      <c r="D11" s="97">
        <v>0.59499999999999997</v>
      </c>
      <c r="E11" s="111">
        <v>11.8</v>
      </c>
      <c r="F11" s="106">
        <v>16</v>
      </c>
      <c r="H11" s="101">
        <f t="shared" si="0"/>
        <v>112000000</v>
      </c>
      <c r="I11" s="102">
        <v>6</v>
      </c>
      <c r="J11" s="97">
        <v>7</v>
      </c>
      <c r="K11" s="113">
        <f t="shared" si="1"/>
        <v>0.10824182614222161</v>
      </c>
      <c r="L11" s="103">
        <f t="shared" si="2"/>
        <v>58.04766540915481</v>
      </c>
      <c r="M11" s="102">
        <f t="shared" si="3"/>
        <v>18229.020637897378</v>
      </c>
      <c r="N11" s="114">
        <f>Q11/K11</f>
        <v>0.83147155963302743</v>
      </c>
      <c r="O11" s="107">
        <v>2.4641700000000002</v>
      </c>
      <c r="P11" s="107">
        <v>4.8426669999999996</v>
      </c>
      <c r="Q11" s="109">
        <v>0.09</v>
      </c>
      <c r="R11" s="113">
        <f t="shared" si="4"/>
        <v>9.52</v>
      </c>
      <c r="S11" s="105">
        <v>16</v>
      </c>
      <c r="U11" s="97">
        <v>10000</v>
      </c>
      <c r="V11" s="102">
        <f>U11/E11</f>
        <v>847.45762711864404</v>
      </c>
      <c r="W11" s="106"/>
      <c r="Y11" s="107"/>
      <c r="Z11" s="108" t="s">
        <v>225</v>
      </c>
      <c r="AA11" s="100" t="s">
        <v>221</v>
      </c>
      <c r="AB11" s="97" t="s">
        <v>216</v>
      </c>
    </row>
    <row r="12" spans="1:31" ht="38" customHeight="1" x14ac:dyDescent="0.2">
      <c r="A12" s="96" t="s">
        <v>27</v>
      </c>
      <c r="B12" s="96" t="s">
        <v>205</v>
      </c>
      <c r="C12" s="97">
        <v>600</v>
      </c>
      <c r="D12" s="97">
        <v>0.59499999999999997</v>
      </c>
      <c r="E12" s="111">
        <v>11.8</v>
      </c>
      <c r="F12" s="106">
        <v>16</v>
      </c>
      <c r="H12" s="101">
        <f t="shared" si="0"/>
        <v>112000000</v>
      </c>
      <c r="I12" s="102">
        <v>6</v>
      </c>
      <c r="J12" s="97">
        <v>7</v>
      </c>
      <c r="K12" s="113">
        <f t="shared" si="1"/>
        <v>0.10824182614222161</v>
      </c>
      <c r="L12" s="103">
        <f t="shared" si="2"/>
        <v>58.04766540915481</v>
      </c>
      <c r="M12" s="102">
        <f t="shared" si="3"/>
        <v>291664.33020635805</v>
      </c>
      <c r="N12" s="114">
        <f>Q12/K12</f>
        <v>3.3258862385321097</v>
      </c>
      <c r="O12" s="107"/>
      <c r="P12" s="107"/>
      <c r="Q12" s="109">
        <v>0.36</v>
      </c>
      <c r="R12" s="113">
        <f t="shared" si="4"/>
        <v>9.52</v>
      </c>
      <c r="S12" s="105">
        <v>16</v>
      </c>
      <c r="W12" s="106"/>
      <c r="Y12" s="107"/>
    </row>
    <row r="13" spans="1:31" ht="38" customHeight="1" x14ac:dyDescent="0.2">
      <c r="A13" s="96" t="s">
        <v>4</v>
      </c>
      <c r="B13" s="96" t="s">
        <v>201</v>
      </c>
      <c r="C13" s="97">
        <v>600</v>
      </c>
      <c r="D13" s="97">
        <v>0.29399999999999998</v>
      </c>
      <c r="E13" s="111">
        <v>6.04</v>
      </c>
      <c r="F13" s="106">
        <v>7.8</v>
      </c>
      <c r="G13" s="97">
        <v>9.7100000000000006E-2</v>
      </c>
      <c r="H13" s="101">
        <f t="shared" si="0"/>
        <v>54599999.999999993</v>
      </c>
      <c r="I13" s="102">
        <v>6</v>
      </c>
      <c r="J13" s="97">
        <v>7</v>
      </c>
      <c r="K13" s="113">
        <f t="shared" si="1"/>
        <v>0.44333741149521044</v>
      </c>
      <c r="L13" s="103">
        <f t="shared" si="2"/>
        <v>14.172468066678073</v>
      </c>
      <c r="M13" s="102">
        <f t="shared" si="3"/>
        <v>16589.56215977895</v>
      </c>
      <c r="N13" s="114">
        <f>Q7/K13</f>
        <v>0.40601130275229347</v>
      </c>
      <c r="O13" s="107"/>
      <c r="P13" s="107"/>
      <c r="Q13" s="109">
        <f>K13*N13</f>
        <v>0.18</v>
      </c>
      <c r="R13" s="113">
        <f>R7*D13/D7</f>
        <v>4.7039999999999997</v>
      </c>
      <c r="S13" s="105">
        <f>R13/D13</f>
        <v>16</v>
      </c>
      <c r="W13" s="106"/>
      <c r="Y13" s="107"/>
      <c r="Z13" s="108"/>
    </row>
    <row r="14" spans="1:31" ht="38" customHeight="1" x14ac:dyDescent="0.2">
      <c r="A14" s="96" t="s">
        <v>29</v>
      </c>
      <c r="B14" s="96" t="s">
        <v>206</v>
      </c>
      <c r="E14" s="111"/>
      <c r="F14" s="106"/>
      <c r="H14" s="101"/>
      <c r="I14" s="102"/>
      <c r="K14" s="113"/>
      <c r="L14" s="104"/>
      <c r="N14" s="113"/>
      <c r="O14" s="107"/>
      <c r="P14" s="107"/>
      <c r="Q14" s="109"/>
      <c r="R14" s="113"/>
      <c r="S14" s="105"/>
      <c r="W14" s="106"/>
      <c r="Y14" s="107"/>
    </row>
    <row r="15" spans="1:31" ht="38" customHeight="1" x14ac:dyDescent="0.2">
      <c r="A15" s="96" t="s">
        <v>40</v>
      </c>
      <c r="B15" s="96" t="s">
        <v>209</v>
      </c>
      <c r="E15" s="111"/>
      <c r="F15" s="106"/>
      <c r="H15" s="101"/>
      <c r="I15" s="102"/>
      <c r="K15" s="113"/>
      <c r="L15" s="104"/>
      <c r="N15" s="113"/>
      <c r="O15" s="107"/>
      <c r="P15" s="107"/>
      <c r="Q15" s="109"/>
      <c r="R15" s="113"/>
      <c r="S15" s="105"/>
      <c r="W15" s="106"/>
      <c r="Y15" s="107"/>
    </row>
    <row r="16" spans="1:31" ht="38" customHeight="1" x14ac:dyDescent="0.2">
      <c r="A16" s="96" t="s">
        <v>41</v>
      </c>
      <c r="B16" s="96" t="s">
        <v>210</v>
      </c>
      <c r="E16" s="111"/>
      <c r="F16" s="106"/>
      <c r="H16" s="101"/>
      <c r="I16" s="102"/>
      <c r="K16" s="113"/>
      <c r="L16" s="104"/>
      <c r="N16" s="113"/>
      <c r="O16" s="107"/>
      <c r="P16" s="107"/>
      <c r="Q16" s="109"/>
      <c r="R16" s="113"/>
      <c r="S16" s="105"/>
      <c r="W16" s="106"/>
      <c r="Y16" s="107"/>
    </row>
    <row r="17" spans="1:19" ht="38" customHeight="1" x14ac:dyDescent="0.2">
      <c r="A17" s="96" t="s">
        <v>42</v>
      </c>
      <c r="B17" s="96" t="s">
        <v>211</v>
      </c>
      <c r="E17" s="111"/>
      <c r="F17" s="106"/>
      <c r="H17" s="101"/>
      <c r="I17" s="102"/>
      <c r="K17" s="113"/>
      <c r="L17" s="104"/>
      <c r="N17" s="113"/>
      <c r="O17" s="107"/>
      <c r="P17" s="107"/>
      <c r="Q17" s="109"/>
      <c r="R17" s="113"/>
      <c r="S17" s="105"/>
    </row>
    <row r="18" spans="1:19" ht="38" customHeight="1" x14ac:dyDescent="0.2">
      <c r="A18" s="96" t="s">
        <v>219</v>
      </c>
      <c r="B18" s="96" t="s">
        <v>220</v>
      </c>
      <c r="C18" s="97">
        <v>600</v>
      </c>
      <c r="D18" s="97">
        <v>0.59499999999999997</v>
      </c>
      <c r="E18" s="111">
        <v>11.8</v>
      </c>
      <c r="F18" s="106">
        <v>16</v>
      </c>
      <c r="H18" s="101">
        <f>H$3*F18/0.000018</f>
        <v>112000000</v>
      </c>
      <c r="I18" s="102">
        <v>6</v>
      </c>
      <c r="J18" s="97">
        <v>7</v>
      </c>
      <c r="K18" s="113">
        <f>9.81/R18^2</f>
        <v>0.27709907492408736</v>
      </c>
      <c r="L18" s="103">
        <f>2*PI()/K18</f>
        <v>22.674869300451096</v>
      </c>
      <c r="M18" s="102">
        <f>(N18/4)^2  / (0.000000167) / E18^2 * 9.81</f>
        <v>11126.111229185406</v>
      </c>
      <c r="N18" s="114">
        <f>Q18/K18</f>
        <v>0.64958715596330252</v>
      </c>
      <c r="O18" s="107">
        <v>2.9920260000000001</v>
      </c>
      <c r="P18" s="107">
        <v>5.8800188999999996</v>
      </c>
      <c r="Q18" s="109">
        <v>0.18</v>
      </c>
      <c r="R18" s="113">
        <f>S18*D18</f>
        <v>5.9499999999999993</v>
      </c>
      <c r="S18" s="105">
        <v>10</v>
      </c>
    </row>
    <row r="19" spans="1:19" x14ac:dyDescent="0.2">
      <c r="I19" s="102"/>
    </row>
    <row r="20" spans="1:19" x14ac:dyDescent="0.2">
      <c r="I20" s="102"/>
      <c r="K20" s="107"/>
      <c r="L20" s="107"/>
      <c r="N20" s="107"/>
      <c r="O20" s="107"/>
      <c r="P20" s="107"/>
      <c r="Q20" s="107"/>
    </row>
    <row r="21" spans="1:19" x14ac:dyDescent="0.2">
      <c r="I21" s="102"/>
      <c r="K21" s="107"/>
      <c r="L21" s="107"/>
      <c r="N21" s="107"/>
      <c r="O21" s="107"/>
      <c r="P21" s="107"/>
      <c r="Q21" s="107"/>
    </row>
    <row r="22" spans="1:19" x14ac:dyDescent="0.2">
      <c r="I22" s="102"/>
      <c r="K22" s="107"/>
      <c r="L22" s="107"/>
      <c r="N22" s="107"/>
      <c r="O22" s="107"/>
      <c r="P22" s="107"/>
      <c r="Q22" s="107"/>
    </row>
    <row r="23" spans="1:19" x14ac:dyDescent="0.2">
      <c r="I23" s="102"/>
      <c r="K23" s="107"/>
      <c r="L23" s="107"/>
      <c r="N23" s="107"/>
      <c r="O23" s="107"/>
      <c r="P23" s="107"/>
      <c r="Q23" s="107"/>
    </row>
    <row r="24" spans="1:19" x14ac:dyDescent="0.2">
      <c r="I24" s="102"/>
    </row>
    <row r="25" spans="1:19" x14ac:dyDescent="0.2">
      <c r="I25" s="102"/>
    </row>
    <row r="26" spans="1:19" x14ac:dyDescent="0.2">
      <c r="I26" s="102"/>
    </row>
    <row r="27" spans="1:19" x14ac:dyDescent="0.2">
      <c r="I27" s="102"/>
    </row>
    <row r="28" spans="1:19" x14ac:dyDescent="0.2">
      <c r="I28" s="102"/>
    </row>
    <row r="29" spans="1:19" x14ac:dyDescent="0.2">
      <c r="I29" s="102"/>
    </row>
    <row r="30" spans="1:19" x14ac:dyDescent="0.2">
      <c r="I30" s="102"/>
    </row>
    <row r="31" spans="1:19" x14ac:dyDescent="0.2">
      <c r="I31" s="102"/>
    </row>
    <row r="32" spans="1:19" x14ac:dyDescent="0.2">
      <c r="I32" s="102"/>
    </row>
    <row r="33" spans="9:9" x14ac:dyDescent="0.2">
      <c r="I33" s="102"/>
    </row>
    <row r="34" spans="9:9" x14ac:dyDescent="0.2">
      <c r="I34" s="102"/>
    </row>
    <row r="35" spans="9:9" x14ac:dyDescent="0.2">
      <c r="I35" s="102"/>
    </row>
    <row r="36" spans="9:9" x14ac:dyDescent="0.2">
      <c r="I36" s="102"/>
    </row>
    <row r="37" spans="9:9" x14ac:dyDescent="0.2">
      <c r="I37" s="102"/>
    </row>
    <row r="38" spans="9:9" x14ac:dyDescent="0.2">
      <c r="I38" s="102"/>
    </row>
    <row r="39" spans="9:9" x14ac:dyDescent="0.2">
      <c r="I39" s="102"/>
    </row>
    <row r="40" spans="9:9" x14ac:dyDescent="0.2">
      <c r="I40" s="102"/>
    </row>
    <row r="41" spans="9:9" x14ac:dyDescent="0.2">
      <c r="I41" s="102"/>
    </row>
    <row r="42" spans="9:9" x14ac:dyDescent="0.2">
      <c r="I42" s="102"/>
    </row>
    <row r="43" spans="9:9" x14ac:dyDescent="0.2">
      <c r="I43" s="102"/>
    </row>
    <row r="44" spans="9:9" x14ac:dyDescent="0.2">
      <c r="I44" s="102"/>
    </row>
    <row r="45" spans="9:9" x14ac:dyDescent="0.2">
      <c r="I45" s="102"/>
    </row>
    <row r="46" spans="9:9" x14ac:dyDescent="0.2">
      <c r="I46" s="102"/>
    </row>
    <row r="47" spans="9:9" x14ac:dyDescent="0.2">
      <c r="I47" s="102"/>
    </row>
    <row r="48" spans="9:9" x14ac:dyDescent="0.2">
      <c r="I48" s="102"/>
    </row>
    <row r="49" spans="9:9" x14ac:dyDescent="0.2">
      <c r="I49" s="102"/>
    </row>
    <row r="50" spans="9:9" x14ac:dyDescent="0.2">
      <c r="I50" s="102"/>
    </row>
    <row r="51" spans="9:9" x14ac:dyDescent="0.2">
      <c r="I51" s="102"/>
    </row>
    <row r="52" spans="9:9" x14ac:dyDescent="0.2">
      <c r="I52" s="102"/>
    </row>
    <row r="53" spans="9:9" x14ac:dyDescent="0.2">
      <c r="I53" s="102"/>
    </row>
    <row r="54" spans="9:9" x14ac:dyDescent="0.2">
      <c r="I54" s="102"/>
    </row>
    <row r="55" spans="9:9" x14ac:dyDescent="0.2">
      <c r="I55" s="102"/>
    </row>
    <row r="56" spans="9:9" x14ac:dyDescent="0.2">
      <c r="I56" s="102"/>
    </row>
    <row r="57" spans="9:9" x14ac:dyDescent="0.2">
      <c r="I57" s="102"/>
    </row>
    <row r="58" spans="9:9" x14ac:dyDescent="0.2">
      <c r="I58" s="102"/>
    </row>
    <row r="59" spans="9:9" x14ac:dyDescent="0.2">
      <c r="I59" s="102"/>
    </row>
    <row r="60" spans="9:9" x14ac:dyDescent="0.2">
      <c r="I60" s="102"/>
    </row>
    <row r="61" spans="9:9" x14ac:dyDescent="0.2">
      <c r="I61" s="102"/>
    </row>
    <row r="62" spans="9:9" x14ac:dyDescent="0.2">
      <c r="I62" s="102"/>
    </row>
    <row r="63" spans="9:9" x14ac:dyDescent="0.2">
      <c r="I63" s="102"/>
    </row>
    <row r="64" spans="9:9" x14ac:dyDescent="0.2">
      <c r="I64" s="102"/>
    </row>
    <row r="65" spans="9:9" x14ac:dyDescent="0.2">
      <c r="I65" s="102"/>
    </row>
    <row r="66" spans="9:9" x14ac:dyDescent="0.2">
      <c r="I66" s="102"/>
    </row>
    <row r="67" spans="9:9" x14ac:dyDescent="0.2">
      <c r="I67" s="102"/>
    </row>
    <row r="68" spans="9:9" x14ac:dyDescent="0.2">
      <c r="I68" s="102"/>
    </row>
    <row r="69" spans="9:9" x14ac:dyDescent="0.2">
      <c r="I69" s="102"/>
    </row>
    <row r="70" spans="9:9" x14ac:dyDescent="0.2">
      <c r="I70" s="102"/>
    </row>
    <row r="71" spans="9:9" x14ac:dyDescent="0.2">
      <c r="I71" s="102"/>
    </row>
    <row r="72" spans="9:9" x14ac:dyDescent="0.2">
      <c r="I72" s="102"/>
    </row>
    <row r="73" spans="9:9" x14ac:dyDescent="0.2">
      <c r="I73" s="102"/>
    </row>
    <row r="74" spans="9:9" x14ac:dyDescent="0.2">
      <c r="I74" s="102"/>
    </row>
    <row r="75" spans="9:9" x14ac:dyDescent="0.2">
      <c r="I75" s="102"/>
    </row>
    <row r="76" spans="9:9" x14ac:dyDescent="0.2">
      <c r="I76" s="102"/>
    </row>
    <row r="77" spans="9:9" x14ac:dyDescent="0.2">
      <c r="I77" s="102"/>
    </row>
    <row r="78" spans="9:9" x14ac:dyDescent="0.2">
      <c r="I78" s="102"/>
    </row>
    <row r="79" spans="9:9" x14ac:dyDescent="0.2">
      <c r="I79" s="102"/>
    </row>
    <row r="80" spans="9:9" x14ac:dyDescent="0.2">
      <c r="I80" s="102"/>
    </row>
    <row r="81" spans="9:9" x14ac:dyDescent="0.2">
      <c r="I81" s="102"/>
    </row>
    <row r="82" spans="9:9" x14ac:dyDescent="0.2">
      <c r="I82" s="102"/>
    </row>
    <row r="83" spans="9:9" x14ac:dyDescent="0.2">
      <c r="I83" s="102"/>
    </row>
    <row r="84" spans="9:9" x14ac:dyDescent="0.2">
      <c r="I84" s="102"/>
    </row>
    <row r="85" spans="9:9" x14ac:dyDescent="0.2">
      <c r="I85" s="102"/>
    </row>
    <row r="86" spans="9:9" x14ac:dyDescent="0.2">
      <c r="I86" s="102"/>
    </row>
    <row r="87" spans="9:9" x14ac:dyDescent="0.2">
      <c r="I87" s="102"/>
    </row>
    <row r="88" spans="9:9" x14ac:dyDescent="0.2">
      <c r="I88" s="102"/>
    </row>
    <row r="89" spans="9:9" x14ac:dyDescent="0.2">
      <c r="I89" s="102"/>
    </row>
    <row r="90" spans="9:9" x14ac:dyDescent="0.2">
      <c r="I90" s="102"/>
    </row>
    <row r="91" spans="9:9" x14ac:dyDescent="0.2">
      <c r="I91" s="102"/>
    </row>
    <row r="92" spans="9:9" x14ac:dyDescent="0.2">
      <c r="I92" s="102"/>
    </row>
    <row r="93" spans="9:9" x14ac:dyDescent="0.2">
      <c r="I93" s="102"/>
    </row>
    <row r="94" spans="9:9" x14ac:dyDescent="0.2">
      <c r="I94" s="102"/>
    </row>
    <row r="95" spans="9:9" x14ac:dyDescent="0.2">
      <c r="I95" s="102"/>
    </row>
    <row r="96" spans="9:9" x14ac:dyDescent="0.2">
      <c r="I96" s="102"/>
    </row>
    <row r="97" spans="9:9" x14ac:dyDescent="0.2">
      <c r="I97" s="102"/>
    </row>
    <row r="98" spans="9:9" x14ac:dyDescent="0.2">
      <c r="I98" s="102"/>
    </row>
    <row r="99" spans="9:9" x14ac:dyDescent="0.2">
      <c r="I99" s="102"/>
    </row>
    <row r="100" spans="9:9" x14ac:dyDescent="0.2">
      <c r="I100" s="102"/>
    </row>
    <row r="101" spans="9:9" x14ac:dyDescent="0.2">
      <c r="I101" s="102"/>
    </row>
    <row r="102" spans="9:9" x14ac:dyDescent="0.2">
      <c r="I102" s="102"/>
    </row>
    <row r="103" spans="9:9" x14ac:dyDescent="0.2">
      <c r="I103" s="102"/>
    </row>
    <row r="104" spans="9:9" x14ac:dyDescent="0.2">
      <c r="I104" s="102"/>
    </row>
    <row r="105" spans="9:9" x14ac:dyDescent="0.2">
      <c r="I105" s="102"/>
    </row>
    <row r="106" spans="9:9" x14ac:dyDescent="0.2">
      <c r="I106" s="102"/>
    </row>
    <row r="107" spans="9:9" x14ac:dyDescent="0.2">
      <c r="I107" s="102"/>
    </row>
    <row r="108" spans="9:9" x14ac:dyDescent="0.2">
      <c r="I108" s="102"/>
    </row>
    <row r="109" spans="9:9" x14ac:dyDescent="0.2">
      <c r="I109" s="102"/>
    </row>
    <row r="110" spans="9:9" x14ac:dyDescent="0.2">
      <c r="I110" s="102"/>
    </row>
    <row r="111" spans="9:9" x14ac:dyDescent="0.2">
      <c r="I111" s="102"/>
    </row>
    <row r="112" spans="9:9" x14ac:dyDescent="0.2">
      <c r="I112" s="102"/>
    </row>
    <row r="113" spans="9:9" x14ac:dyDescent="0.2">
      <c r="I113" s="102"/>
    </row>
    <row r="114" spans="9:9" x14ac:dyDescent="0.2">
      <c r="I114" s="102"/>
    </row>
    <row r="115" spans="9:9" x14ac:dyDescent="0.2">
      <c r="I115" s="102"/>
    </row>
    <row r="116" spans="9:9" x14ac:dyDescent="0.2">
      <c r="I116" s="102"/>
    </row>
    <row r="117" spans="9:9" x14ac:dyDescent="0.2">
      <c r="I117" s="102"/>
    </row>
    <row r="118" spans="9:9" x14ac:dyDescent="0.2">
      <c r="I118" s="102"/>
    </row>
    <row r="119" spans="9:9" x14ac:dyDescent="0.2">
      <c r="I119" s="102"/>
    </row>
    <row r="120" spans="9:9" x14ac:dyDescent="0.2">
      <c r="I120" s="102"/>
    </row>
    <row r="121" spans="9:9" x14ac:dyDescent="0.2">
      <c r="I121" s="102"/>
    </row>
    <row r="122" spans="9:9" x14ac:dyDescent="0.2">
      <c r="I122" s="102"/>
    </row>
    <row r="123" spans="9:9" x14ac:dyDescent="0.2">
      <c r="I123" s="102"/>
    </row>
    <row r="124" spans="9:9" x14ac:dyDescent="0.2">
      <c r="I124" s="102"/>
    </row>
    <row r="125" spans="9:9" x14ac:dyDescent="0.2">
      <c r="I125" s="102"/>
    </row>
    <row r="126" spans="9:9" x14ac:dyDescent="0.2">
      <c r="I126" s="102"/>
    </row>
    <row r="127" spans="9:9" x14ac:dyDescent="0.2">
      <c r="I127" s="102"/>
    </row>
    <row r="128" spans="9:9" x14ac:dyDescent="0.2">
      <c r="I128" s="102"/>
    </row>
    <row r="129" spans="9:9" x14ac:dyDescent="0.2">
      <c r="I129" s="102"/>
    </row>
    <row r="130" spans="9:9" x14ac:dyDescent="0.2">
      <c r="I130" s="102"/>
    </row>
    <row r="131" spans="9:9" x14ac:dyDescent="0.2">
      <c r="I131" s="102"/>
    </row>
    <row r="132" spans="9:9" x14ac:dyDescent="0.2">
      <c r="I132" s="102"/>
    </row>
    <row r="133" spans="9:9" x14ac:dyDescent="0.2">
      <c r="I133" s="102"/>
    </row>
    <row r="134" spans="9:9" x14ac:dyDescent="0.2">
      <c r="I134" s="102"/>
    </row>
    <row r="135" spans="9:9" x14ac:dyDescent="0.2">
      <c r="I135" s="102"/>
    </row>
    <row r="136" spans="9:9" x14ac:dyDescent="0.2">
      <c r="I136" s="102"/>
    </row>
    <row r="137" spans="9:9" x14ac:dyDescent="0.2">
      <c r="I137" s="102"/>
    </row>
    <row r="138" spans="9:9" x14ac:dyDescent="0.2">
      <c r="I138" s="102"/>
    </row>
    <row r="139" spans="9:9" x14ac:dyDescent="0.2">
      <c r="I139" s="102"/>
    </row>
    <row r="140" spans="9:9" x14ac:dyDescent="0.2">
      <c r="I140" s="102"/>
    </row>
    <row r="141" spans="9:9" x14ac:dyDescent="0.2">
      <c r="I141" s="102"/>
    </row>
    <row r="142" spans="9:9" x14ac:dyDescent="0.2">
      <c r="I142" s="102"/>
    </row>
    <row r="143" spans="9:9" x14ac:dyDescent="0.2">
      <c r="I143" s="102"/>
    </row>
    <row r="144" spans="9:9" x14ac:dyDescent="0.2">
      <c r="I144" s="102"/>
    </row>
    <row r="145" spans="9:9" x14ac:dyDescent="0.2">
      <c r="I145" s="102"/>
    </row>
    <row r="146" spans="9:9" x14ac:dyDescent="0.2">
      <c r="I146" s="102"/>
    </row>
    <row r="147" spans="9:9" x14ac:dyDescent="0.2">
      <c r="I147" s="102"/>
    </row>
    <row r="148" spans="9:9" x14ac:dyDescent="0.2">
      <c r="I148" s="102"/>
    </row>
    <row r="149" spans="9:9" x14ac:dyDescent="0.2">
      <c r="I149" s="102"/>
    </row>
    <row r="150" spans="9:9" x14ac:dyDescent="0.2">
      <c r="I150" s="102"/>
    </row>
    <row r="151" spans="9:9" x14ac:dyDescent="0.2">
      <c r="I151" s="102"/>
    </row>
    <row r="152" spans="9:9" x14ac:dyDescent="0.2">
      <c r="I152" s="102"/>
    </row>
    <row r="153" spans="9:9" x14ac:dyDescent="0.2">
      <c r="I153" s="102"/>
    </row>
    <row r="154" spans="9:9" x14ac:dyDescent="0.2">
      <c r="I154" s="102"/>
    </row>
    <row r="155" spans="9:9" x14ac:dyDescent="0.2">
      <c r="I155" s="102"/>
    </row>
    <row r="156" spans="9:9" x14ac:dyDescent="0.2">
      <c r="I156" s="102"/>
    </row>
    <row r="157" spans="9:9" x14ac:dyDescent="0.2">
      <c r="I157" s="102"/>
    </row>
    <row r="158" spans="9:9" x14ac:dyDescent="0.2">
      <c r="I158" s="102"/>
    </row>
    <row r="159" spans="9:9" x14ac:dyDescent="0.2">
      <c r="I159" s="102"/>
    </row>
    <row r="160" spans="9:9" x14ac:dyDescent="0.2">
      <c r="I160" s="102"/>
    </row>
    <row r="161" spans="9:9" x14ac:dyDescent="0.2">
      <c r="I161" s="102"/>
    </row>
    <row r="162" spans="9:9" x14ac:dyDescent="0.2">
      <c r="I162" s="102"/>
    </row>
    <row r="163" spans="9:9" x14ac:dyDescent="0.2">
      <c r="I163" s="102"/>
    </row>
    <row r="164" spans="9:9" x14ac:dyDescent="0.2">
      <c r="I164" s="102"/>
    </row>
    <row r="165" spans="9:9" x14ac:dyDescent="0.2">
      <c r="I165" s="102"/>
    </row>
    <row r="166" spans="9:9" x14ac:dyDescent="0.2">
      <c r="I166" s="102"/>
    </row>
    <row r="167" spans="9:9" x14ac:dyDescent="0.2">
      <c r="I167" s="102"/>
    </row>
    <row r="168" spans="9:9" x14ac:dyDescent="0.2">
      <c r="I168" s="102"/>
    </row>
    <row r="169" spans="9:9" x14ac:dyDescent="0.2">
      <c r="I169" s="102"/>
    </row>
    <row r="170" spans="9:9" x14ac:dyDescent="0.2">
      <c r="I170" s="102"/>
    </row>
    <row r="171" spans="9:9" x14ac:dyDescent="0.2">
      <c r="I171" s="102"/>
    </row>
    <row r="172" spans="9:9" x14ac:dyDescent="0.2">
      <c r="I172" s="102"/>
    </row>
    <row r="173" spans="9:9" x14ac:dyDescent="0.2">
      <c r="I173" s="102"/>
    </row>
    <row r="174" spans="9:9" x14ac:dyDescent="0.2">
      <c r="I174" s="102"/>
    </row>
    <row r="175" spans="9:9" x14ac:dyDescent="0.2">
      <c r="I175" s="102"/>
    </row>
    <row r="176" spans="9:9" x14ac:dyDescent="0.2">
      <c r="I176" s="102"/>
    </row>
    <row r="177" spans="9:9" x14ac:dyDescent="0.2">
      <c r="I177" s="102"/>
    </row>
    <row r="178" spans="9:9" x14ac:dyDescent="0.2">
      <c r="I178" s="102"/>
    </row>
    <row r="179" spans="9:9" x14ac:dyDescent="0.2">
      <c r="I179" s="102"/>
    </row>
    <row r="180" spans="9:9" x14ac:dyDescent="0.2">
      <c r="I180" s="102"/>
    </row>
    <row r="181" spans="9:9" x14ac:dyDescent="0.2">
      <c r="I181" s="102"/>
    </row>
    <row r="182" spans="9:9" x14ac:dyDescent="0.2">
      <c r="I182" s="102"/>
    </row>
    <row r="183" spans="9:9" x14ac:dyDescent="0.2">
      <c r="I183" s="102"/>
    </row>
    <row r="184" spans="9:9" x14ac:dyDescent="0.2">
      <c r="I184" s="102"/>
    </row>
    <row r="185" spans="9:9" x14ac:dyDescent="0.2">
      <c r="I185" s="102"/>
    </row>
    <row r="186" spans="9:9" x14ac:dyDescent="0.2">
      <c r="I186" s="102"/>
    </row>
    <row r="187" spans="9:9" x14ac:dyDescent="0.2">
      <c r="I187" s="102"/>
    </row>
    <row r="188" spans="9:9" x14ac:dyDescent="0.2">
      <c r="I188" s="102"/>
    </row>
    <row r="189" spans="9:9" x14ac:dyDescent="0.2">
      <c r="I189" s="102"/>
    </row>
    <row r="190" spans="9:9" x14ac:dyDescent="0.2">
      <c r="I190" s="102"/>
    </row>
    <row r="191" spans="9:9" x14ac:dyDescent="0.2">
      <c r="I191" s="102"/>
    </row>
    <row r="192" spans="9:9" x14ac:dyDescent="0.2">
      <c r="I192" s="102"/>
    </row>
    <row r="193" spans="9:9" x14ac:dyDescent="0.2">
      <c r="I193" s="102"/>
    </row>
    <row r="194" spans="9:9" x14ac:dyDescent="0.2">
      <c r="I194" s="102"/>
    </row>
    <row r="195" spans="9:9" x14ac:dyDescent="0.2">
      <c r="I195" s="102"/>
    </row>
    <row r="196" spans="9:9" x14ac:dyDescent="0.2">
      <c r="I196" s="102"/>
    </row>
    <row r="197" spans="9:9" x14ac:dyDescent="0.2">
      <c r="I197" s="102"/>
    </row>
    <row r="198" spans="9:9" x14ac:dyDescent="0.2">
      <c r="I198" s="102"/>
    </row>
    <row r="199" spans="9:9" x14ac:dyDescent="0.2">
      <c r="I199" s="102"/>
    </row>
    <row r="200" spans="9:9" x14ac:dyDescent="0.2">
      <c r="I200" s="102"/>
    </row>
    <row r="201" spans="9:9" x14ac:dyDescent="0.2">
      <c r="I201" s="102"/>
    </row>
    <row r="202" spans="9:9" x14ac:dyDescent="0.2">
      <c r="I202" s="102"/>
    </row>
    <row r="203" spans="9:9" x14ac:dyDescent="0.2">
      <c r="I203" s="102"/>
    </row>
    <row r="204" spans="9:9" x14ac:dyDescent="0.2">
      <c r="I204" s="102"/>
    </row>
    <row r="205" spans="9:9" x14ac:dyDescent="0.2">
      <c r="I205" s="102"/>
    </row>
    <row r="206" spans="9:9" x14ac:dyDescent="0.2">
      <c r="I206" s="102"/>
    </row>
    <row r="207" spans="9:9" x14ac:dyDescent="0.2">
      <c r="I207" s="102"/>
    </row>
    <row r="208" spans="9:9" x14ac:dyDescent="0.2">
      <c r="I208" s="102"/>
    </row>
    <row r="209" spans="9:9" x14ac:dyDescent="0.2">
      <c r="I209" s="102"/>
    </row>
    <row r="210" spans="9:9" x14ac:dyDescent="0.2">
      <c r="I210" s="102"/>
    </row>
    <row r="211" spans="9:9" x14ac:dyDescent="0.2">
      <c r="I211" s="102"/>
    </row>
    <row r="212" spans="9:9" x14ac:dyDescent="0.2">
      <c r="I212" s="102"/>
    </row>
    <row r="213" spans="9:9" x14ac:dyDescent="0.2">
      <c r="I213" s="102"/>
    </row>
    <row r="214" spans="9:9" x14ac:dyDescent="0.2">
      <c r="I214" s="102"/>
    </row>
    <row r="215" spans="9:9" x14ac:dyDescent="0.2">
      <c r="I215" s="102"/>
    </row>
    <row r="216" spans="9:9" x14ac:dyDescent="0.2">
      <c r="I216" s="102"/>
    </row>
    <row r="217" spans="9:9" x14ac:dyDescent="0.2">
      <c r="I217" s="102"/>
    </row>
    <row r="218" spans="9:9" x14ac:dyDescent="0.2">
      <c r="I218" s="102"/>
    </row>
    <row r="219" spans="9:9" x14ac:dyDescent="0.2">
      <c r="I219" s="102"/>
    </row>
    <row r="220" spans="9:9" x14ac:dyDescent="0.2">
      <c r="I220" s="102"/>
    </row>
    <row r="221" spans="9:9" x14ac:dyDescent="0.2">
      <c r="I221" s="102"/>
    </row>
    <row r="222" spans="9:9" x14ac:dyDescent="0.2">
      <c r="I222" s="102"/>
    </row>
    <row r="223" spans="9:9" x14ac:dyDescent="0.2">
      <c r="I223" s="102"/>
    </row>
    <row r="224" spans="9:9" x14ac:dyDescent="0.2">
      <c r="I224" s="102"/>
    </row>
    <row r="225" spans="9:9" x14ac:dyDescent="0.2">
      <c r="I225" s="102"/>
    </row>
    <row r="226" spans="9:9" x14ac:dyDescent="0.2">
      <c r="I226" s="102"/>
    </row>
    <row r="227" spans="9:9" x14ac:dyDescent="0.2">
      <c r="I227" s="102"/>
    </row>
    <row r="228" spans="9:9" x14ac:dyDescent="0.2">
      <c r="I228" s="102"/>
    </row>
    <row r="229" spans="9:9" x14ac:dyDescent="0.2">
      <c r="I229" s="102"/>
    </row>
    <row r="230" spans="9:9" x14ac:dyDescent="0.2">
      <c r="I230" s="102"/>
    </row>
    <row r="231" spans="9:9" x14ac:dyDescent="0.2">
      <c r="I231" s="102"/>
    </row>
  </sheetData>
  <mergeCells count="10">
    <mergeCell ref="B4:B5"/>
    <mergeCell ref="AD6:AE6"/>
    <mergeCell ref="Y1:AB1"/>
    <mergeCell ref="C4:G5"/>
    <mergeCell ref="H4:Y4"/>
    <mergeCell ref="Z4:AE5"/>
    <mergeCell ref="H5:J5"/>
    <mergeCell ref="K5:S5"/>
    <mergeCell ref="T5:Y5"/>
    <mergeCell ref="E3:G3"/>
  </mergeCells>
  <conditionalFormatting sqref="AA1:AA4 AA6:AA1048576">
    <cfRule type="containsText" dxfId="37" priority="1" operator="containsText" text=".">
      <formula>NOT(ISERROR(SEARCH(".",AA1)))</formula>
    </cfRule>
  </conditionalFormatting>
  <conditionalFormatting sqref="AA7:AA49">
    <cfRule type="containsBlanks" dxfId="36" priority="2">
      <formula>LEN(TRIM(AA7))=0</formula>
    </cfRule>
    <cfRule type="notContainsText" dxfId="35" priority="3" operator="notContains" text="done">
      <formula>ISERROR(SEARCH("done",AA7))</formula>
    </cfRule>
  </conditionalFormatting>
  <pageMargins left="0.7" right="0.7" top="0.75" bottom="0.75" header="0.3" footer="0.3"/>
  <pageSetup orientation="portrait" horizontalDpi="0" verticalDpi="0"/>
  <ignoredErrors>
    <ignoredError sqref="R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CED4-0336-694B-BD5B-23FF94925F82}">
  <dimension ref="A1:AA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baseColWidth="10" defaultRowHeight="17" x14ac:dyDescent="0.2"/>
  <cols>
    <col min="1" max="1" width="22" style="115" customWidth="1"/>
    <col min="2" max="2" width="14.5" customWidth="1"/>
    <col min="3" max="4" width="12.5" customWidth="1"/>
    <col min="5" max="5" width="17.6640625" customWidth="1"/>
    <col min="6" max="9" width="11" customWidth="1"/>
    <col min="10" max="12" width="8.83203125" customWidth="1"/>
    <col min="13" max="13" width="11" customWidth="1"/>
    <col min="14" max="15" width="13.1640625" customWidth="1"/>
    <col min="16" max="20" width="10.83203125" customWidth="1"/>
    <col min="22" max="22" width="10.83203125" customWidth="1"/>
  </cols>
  <sheetData>
    <row r="1" spans="1:27" s="118" customFormat="1" ht="26" customHeight="1" thickBot="1" x14ac:dyDescent="0.25">
      <c r="A1" s="120" t="s">
        <v>226</v>
      </c>
      <c r="B1" s="118" t="s">
        <v>246</v>
      </c>
      <c r="C1" s="118" t="s">
        <v>247</v>
      </c>
      <c r="D1" s="118" t="s">
        <v>248</v>
      </c>
      <c r="E1" s="118" t="s">
        <v>228</v>
      </c>
      <c r="F1" s="118" t="s">
        <v>244</v>
      </c>
      <c r="G1" s="118" t="s">
        <v>245</v>
      </c>
      <c r="H1" s="118" t="s">
        <v>255</v>
      </c>
      <c r="I1" s="118" t="s">
        <v>274</v>
      </c>
      <c r="J1" s="118" t="s">
        <v>257</v>
      </c>
      <c r="K1" s="118" t="s">
        <v>256</v>
      </c>
      <c r="L1" s="119" t="s">
        <v>45</v>
      </c>
      <c r="M1" s="119" t="s">
        <v>227</v>
      </c>
      <c r="N1" s="119" t="s">
        <v>229</v>
      </c>
      <c r="O1" s="119" t="s">
        <v>238</v>
      </c>
      <c r="P1" s="118" t="s">
        <v>240</v>
      </c>
      <c r="Q1" s="118" t="s">
        <v>241</v>
      </c>
      <c r="R1" s="118" t="s">
        <v>242</v>
      </c>
      <c r="S1" s="118" t="s">
        <v>243</v>
      </c>
      <c r="T1" s="118" t="s">
        <v>252</v>
      </c>
      <c r="U1" s="118" t="s">
        <v>254</v>
      </c>
      <c r="V1" s="118" t="s">
        <v>253</v>
      </c>
      <c r="W1" s="118" t="s">
        <v>195</v>
      </c>
      <c r="X1" s="118" t="s">
        <v>191</v>
      </c>
      <c r="Y1" s="118" t="s">
        <v>192</v>
      </c>
      <c r="Z1" s="118" t="s">
        <v>204</v>
      </c>
      <c r="AA1" s="118" t="s">
        <v>258</v>
      </c>
    </row>
    <row r="2" spans="1:27" s="116" customFormat="1" ht="26" customHeight="1" x14ac:dyDescent="0.2">
      <c r="A2" s="121" t="s">
        <v>231</v>
      </c>
      <c r="B2" s="116">
        <v>0.64700000000000002</v>
      </c>
      <c r="C2" s="116">
        <v>0.64400000000000002</v>
      </c>
      <c r="D2" s="116">
        <v>0.65</v>
      </c>
      <c r="E2" s="116">
        <v>11.5</v>
      </c>
      <c r="F2" s="116">
        <v>18.266999999999999</v>
      </c>
      <c r="G2" s="116">
        <v>20</v>
      </c>
      <c r="H2" s="116">
        <v>2917</v>
      </c>
      <c r="J2" s="123">
        <f>F2/B2</f>
        <v>28.233384853168467</v>
      </c>
      <c r="K2" s="123">
        <f>H2*B2/600</f>
        <v>3.1454983333333333</v>
      </c>
      <c r="L2" s="123"/>
      <c r="M2" s="117">
        <v>10000</v>
      </c>
      <c r="N2" s="116">
        <v>12</v>
      </c>
      <c r="O2" s="116">
        <v>20</v>
      </c>
      <c r="P2" s="116" t="s">
        <v>266</v>
      </c>
      <c r="Q2" s="116">
        <v>0.46400000000000002</v>
      </c>
      <c r="R2" s="116">
        <v>0.53410999999999997</v>
      </c>
      <c r="S2" s="116">
        <v>1.0630500000000001</v>
      </c>
      <c r="T2" s="122">
        <f t="shared" ref="T2:T20" si="0">G2/E2</f>
        <v>1.7391304347826086</v>
      </c>
      <c r="U2" s="117">
        <f t="shared" ref="U2:U20" si="1">0.000018/B2</f>
        <v>2.7820710973724885E-5</v>
      </c>
      <c r="V2" s="117">
        <f>600/U2</f>
        <v>21566666.666666664</v>
      </c>
      <c r="W2" s="124">
        <f t="shared" ref="W2:W20" si="2">1/22*(9.81*N2*M2)^(1/3)</f>
        <v>4.7994787187476415</v>
      </c>
      <c r="X2" s="124">
        <f t="shared" ref="X2:X20" si="3">22^2 * (9.81 / N2^2 / M2^2) ^ (1/3)</f>
        <v>0.42587374497687464</v>
      </c>
      <c r="Y2" s="123">
        <f t="shared" ref="Y2:Y20" si="4">4*SQRT(0.000000167 * N2^2 * M2 / 9.81)</f>
        <v>0.62627484660190413</v>
      </c>
      <c r="Z2" s="123">
        <f t="shared" ref="Z2:Z20" si="5">W2/B2</f>
        <v>7.4180505699345307</v>
      </c>
      <c r="AA2" s="124">
        <f>X2*Y2</f>
        <v>0.26671401430717062</v>
      </c>
    </row>
    <row r="3" spans="1:27" s="116" customFormat="1" ht="26" customHeight="1" x14ac:dyDescent="0.2">
      <c r="A3" s="121" t="s">
        <v>239</v>
      </c>
      <c r="B3" s="116">
        <v>0.38200000000000001</v>
      </c>
      <c r="C3" s="116">
        <v>0.38</v>
      </c>
      <c r="D3" s="116">
        <v>0.38600000000000001</v>
      </c>
      <c r="E3" s="116">
        <v>8.0210000000000008</v>
      </c>
      <c r="F3" s="116">
        <v>11.994999999999999</v>
      </c>
      <c r="G3" s="116">
        <v>13</v>
      </c>
      <c r="H3" s="116">
        <v>4561</v>
      </c>
      <c r="J3" s="123">
        <f>F3/B3</f>
        <v>31.400523560209422</v>
      </c>
      <c r="K3" s="123">
        <f>H3*B3/600</f>
        <v>2.9038366666666668</v>
      </c>
      <c r="L3" s="123"/>
      <c r="M3" s="117">
        <v>10000</v>
      </c>
      <c r="N3" s="116">
        <v>12</v>
      </c>
      <c r="O3" s="116">
        <v>13</v>
      </c>
      <c r="P3" s="116" t="s">
        <v>266</v>
      </c>
      <c r="Q3" s="116">
        <v>0.46400000000000002</v>
      </c>
      <c r="R3" s="116">
        <v>0.53410999999999997</v>
      </c>
      <c r="S3" s="116">
        <v>1.0630500000000001</v>
      </c>
      <c r="T3" s="122">
        <f t="shared" si="0"/>
        <v>1.6207455429497568</v>
      </c>
      <c r="U3" s="117">
        <f t="shared" si="1"/>
        <v>4.7120418848167537E-5</v>
      </c>
      <c r="V3" s="117">
        <f>600/U3</f>
        <v>12733333.333333334</v>
      </c>
      <c r="W3" s="124">
        <f t="shared" si="2"/>
        <v>4.7994787187476415</v>
      </c>
      <c r="X3" s="124">
        <f t="shared" si="3"/>
        <v>0.42587374497687464</v>
      </c>
      <c r="Y3" s="123">
        <f t="shared" si="4"/>
        <v>0.62627484660190413</v>
      </c>
      <c r="Z3" s="123">
        <f t="shared" si="5"/>
        <v>12.564080415569743</v>
      </c>
      <c r="AA3" s="124">
        <f>X3*Y3</f>
        <v>0.26671401430717062</v>
      </c>
    </row>
    <row r="4" spans="1:27" s="116" customFormat="1" ht="26" customHeight="1" x14ac:dyDescent="0.2">
      <c r="A4" s="121" t="s">
        <v>230</v>
      </c>
      <c r="B4" s="116">
        <v>0.36599999999999999</v>
      </c>
      <c r="C4" s="116">
        <v>0.36399999999999999</v>
      </c>
      <c r="D4" s="116">
        <v>0.46700000000000003</v>
      </c>
      <c r="E4" s="116">
        <v>7.9770000000000003</v>
      </c>
      <c r="F4" s="116">
        <v>11.976000000000001</v>
      </c>
      <c r="G4" s="116">
        <v>13</v>
      </c>
      <c r="H4" s="116">
        <v>5161</v>
      </c>
      <c r="J4" s="123">
        <f>F4/B4</f>
        <v>32.721311475409841</v>
      </c>
      <c r="K4" s="123">
        <f>H4*B4/600</f>
        <v>3.1482099999999997</v>
      </c>
      <c r="L4" s="123"/>
      <c r="M4" s="117">
        <v>10000</v>
      </c>
      <c r="N4" s="116">
        <v>8</v>
      </c>
      <c r="O4" s="116">
        <v>13</v>
      </c>
      <c r="P4" s="116" t="s">
        <v>266</v>
      </c>
      <c r="Q4" s="116">
        <v>0.26</v>
      </c>
      <c r="R4" s="116">
        <v>0.48787999999999998</v>
      </c>
      <c r="S4" s="116">
        <v>0.96718000000000004</v>
      </c>
      <c r="T4" s="122">
        <f t="shared" si="0"/>
        <v>1.6296853453679327</v>
      </c>
      <c r="U4" s="117">
        <f t="shared" si="1"/>
        <v>4.9180327868852463E-5</v>
      </c>
      <c r="V4" s="117">
        <f>600/U4</f>
        <v>12199999.999999998</v>
      </c>
      <c r="W4" s="124">
        <f t="shared" si="2"/>
        <v>4.1927308496155398</v>
      </c>
      <c r="X4" s="124">
        <f t="shared" si="3"/>
        <v>0.55805247608382869</v>
      </c>
      <c r="Y4" s="123">
        <f t="shared" si="4"/>
        <v>0.41751656440126939</v>
      </c>
      <c r="Z4" s="123">
        <f t="shared" si="5"/>
        <v>11.455548769441366</v>
      </c>
      <c r="AA4" s="124">
        <f>X4*Y4</f>
        <v>0.2329961525701417</v>
      </c>
    </row>
    <row r="5" spans="1:27" s="116" customFormat="1" ht="26" customHeight="1" x14ac:dyDescent="0.2">
      <c r="A5" s="121" t="s">
        <v>232</v>
      </c>
      <c r="B5" s="116">
        <v>0.46500000000000002</v>
      </c>
      <c r="C5" s="116">
        <v>0.46400000000000002</v>
      </c>
      <c r="D5" s="116">
        <v>0.46600000000000003</v>
      </c>
      <c r="E5" s="116">
        <v>13.475</v>
      </c>
      <c r="F5" s="116">
        <v>18.657</v>
      </c>
      <c r="G5" s="116">
        <v>20</v>
      </c>
      <c r="H5" s="116">
        <v>3849</v>
      </c>
      <c r="I5" s="117">
        <v>1E-8</v>
      </c>
      <c r="J5" s="123">
        <f t="shared" ref="J5:J20" si="6">F5/B5</f>
        <v>40.122580645161285</v>
      </c>
      <c r="K5" s="123">
        <f t="shared" ref="K5:K20" si="7">H5*B5/600</f>
        <v>2.9829750000000002</v>
      </c>
      <c r="L5" s="126">
        <v>384</v>
      </c>
      <c r="M5" s="117">
        <v>5000</v>
      </c>
      <c r="N5" s="116">
        <v>12</v>
      </c>
      <c r="O5" s="116">
        <v>20</v>
      </c>
      <c r="P5" s="116" t="s">
        <v>31</v>
      </c>
      <c r="Q5" s="116">
        <v>0.46400000000000002</v>
      </c>
      <c r="R5" s="116">
        <v>0.57479999999999998</v>
      </c>
      <c r="S5" s="116">
        <v>1.1344399999999999</v>
      </c>
      <c r="T5" s="122">
        <f t="shared" si="0"/>
        <v>1.4842300556586272</v>
      </c>
      <c r="U5" s="117">
        <f t="shared" si="1"/>
        <v>3.8709677419354835E-5</v>
      </c>
      <c r="V5" s="117">
        <f t="shared" ref="V5:V20" si="8">600/U5</f>
        <v>15500000.000000002</v>
      </c>
      <c r="W5" s="124">
        <f t="shared" si="2"/>
        <v>3.8093487835194972</v>
      </c>
      <c r="X5" s="124">
        <f t="shared" si="3"/>
        <v>0.6760324307819271</v>
      </c>
      <c r="Y5" s="123">
        <f t="shared" si="4"/>
        <v>0.44284319091877122</v>
      </c>
      <c r="Z5" s="123">
        <f t="shared" si="5"/>
        <v>8.1921479215473063</v>
      </c>
      <c r="AA5" s="124">
        <f t="shared" ref="AA5:AA20" si="9">X5*Y5</f>
        <v>0.29937635881204194</v>
      </c>
    </row>
    <row r="6" spans="1:27" s="116" customFormat="1" ht="26" customHeight="1" x14ac:dyDescent="0.2">
      <c r="A6" s="121" t="s">
        <v>234</v>
      </c>
      <c r="B6" s="116">
        <v>0.67</v>
      </c>
      <c r="C6" s="116">
        <v>0.66600000000000004</v>
      </c>
      <c r="D6" s="116">
        <v>0.67300000000000004</v>
      </c>
      <c r="E6" s="116">
        <v>11.622999999999999</v>
      </c>
      <c r="F6" s="116">
        <v>19.184000000000001</v>
      </c>
      <c r="G6" s="116">
        <v>21</v>
      </c>
      <c r="H6" s="116">
        <v>2666</v>
      </c>
      <c r="I6" s="117">
        <v>8.3400000000000002E-3</v>
      </c>
      <c r="J6" s="123">
        <f t="shared" si="6"/>
        <v>28.632835820895522</v>
      </c>
      <c r="K6" s="123">
        <f t="shared" si="7"/>
        <v>2.9770333333333334</v>
      </c>
      <c r="L6" s="126">
        <v>384</v>
      </c>
      <c r="M6" s="117">
        <v>50000</v>
      </c>
      <c r="N6" s="116">
        <v>12</v>
      </c>
      <c r="O6" s="116">
        <v>21</v>
      </c>
      <c r="P6" s="116" t="s">
        <v>31</v>
      </c>
      <c r="Q6" s="116">
        <v>0.46400000000000002</v>
      </c>
      <c r="R6" s="116">
        <v>0.44818999999999998</v>
      </c>
      <c r="S6" s="116">
        <v>0.89644000000000001</v>
      </c>
      <c r="T6" s="122">
        <f t="shared" si="0"/>
        <v>1.8067624537554849</v>
      </c>
      <c r="U6" s="117">
        <f t="shared" si="1"/>
        <v>2.6865671641791043E-5</v>
      </c>
      <c r="V6" s="117">
        <f t="shared" si="8"/>
        <v>22333333.333333336</v>
      </c>
      <c r="W6" s="124">
        <f t="shared" si="2"/>
        <v>8.2069931656451622</v>
      </c>
      <c r="X6" s="124">
        <f t="shared" si="3"/>
        <v>0.14564677204631618</v>
      </c>
      <c r="Y6" s="123">
        <f t="shared" si="4"/>
        <v>1.4003931296001109</v>
      </c>
      <c r="Z6" s="123">
        <f t="shared" si="5"/>
        <v>12.249243530813674</v>
      </c>
      <c r="AA6" s="124">
        <f t="shared" si="9"/>
        <v>0.20396273892209466</v>
      </c>
    </row>
    <row r="7" spans="1:27" s="116" customFormat="1" ht="26" customHeight="1" x14ac:dyDescent="0.2">
      <c r="A7" s="121" t="s">
        <v>265</v>
      </c>
      <c r="B7" s="116">
        <v>0.60699999999999998</v>
      </c>
      <c r="C7" s="116">
        <v>0.60299999999999998</v>
      </c>
      <c r="D7" s="116">
        <v>0.61</v>
      </c>
      <c r="E7" s="116">
        <v>12.839</v>
      </c>
      <c r="F7" s="116">
        <v>19.323</v>
      </c>
      <c r="G7" s="116">
        <v>21</v>
      </c>
      <c r="H7" s="116">
        <v>3114</v>
      </c>
      <c r="I7" s="117">
        <v>8.8800000000000007E-3</v>
      </c>
      <c r="J7" s="123">
        <f t="shared" si="6"/>
        <v>31.833607907743001</v>
      </c>
      <c r="K7" s="123">
        <f t="shared" si="7"/>
        <v>3.1503299999999999</v>
      </c>
      <c r="L7" s="126">
        <v>384</v>
      </c>
      <c r="M7" s="117">
        <v>100000</v>
      </c>
      <c r="N7" s="116">
        <v>12</v>
      </c>
      <c r="O7" s="116">
        <v>21</v>
      </c>
      <c r="P7" s="116" t="s">
        <v>31</v>
      </c>
      <c r="Q7" s="116">
        <v>0.46400000000000002</v>
      </c>
      <c r="R7" s="116">
        <v>0.41533999999999999</v>
      </c>
      <c r="S7" s="116">
        <v>0.83106999999999998</v>
      </c>
      <c r="T7" s="122">
        <f t="shared" si="0"/>
        <v>1.6356414050938546</v>
      </c>
      <c r="U7" s="117">
        <f t="shared" si="1"/>
        <v>2.9654036243822079E-5</v>
      </c>
      <c r="V7" s="117">
        <f t="shared" si="8"/>
        <v>20233333.333333332</v>
      </c>
      <c r="W7" s="124">
        <f t="shared" si="2"/>
        <v>10.340163445739709</v>
      </c>
      <c r="X7" s="124">
        <f t="shared" si="3"/>
        <v>9.1751716975197017E-2</v>
      </c>
      <c r="Y7" s="123">
        <f t="shared" si="4"/>
        <v>1.9804549565345801</v>
      </c>
      <c r="Z7" s="123">
        <f t="shared" si="5"/>
        <v>17.03486564372275</v>
      </c>
      <c r="AA7" s="124">
        <f t="shared" si="9"/>
        <v>0.18171014265408691</v>
      </c>
    </row>
    <row r="8" spans="1:27" s="116" customFormat="1" ht="26" customHeight="1" x14ac:dyDescent="0.2">
      <c r="A8" s="121" t="s">
        <v>249</v>
      </c>
      <c r="B8" s="116">
        <v>0.186</v>
      </c>
      <c r="C8" s="116">
        <v>0.186</v>
      </c>
      <c r="D8" s="116">
        <v>0.186</v>
      </c>
      <c r="E8" s="116">
        <v>5.32</v>
      </c>
      <c r="F8" s="125">
        <v>7.4189999999999996</v>
      </c>
      <c r="G8" s="116">
        <v>8</v>
      </c>
      <c r="H8" s="116">
        <v>8465</v>
      </c>
      <c r="I8" s="117">
        <v>5.2099999999999999E-5</v>
      </c>
      <c r="J8" s="123">
        <f t="shared" si="6"/>
        <v>39.887096774193544</v>
      </c>
      <c r="K8" s="123">
        <f t="shared" si="7"/>
        <v>2.6241500000000002</v>
      </c>
      <c r="L8" s="126">
        <v>384</v>
      </c>
      <c r="M8" s="117">
        <v>50000</v>
      </c>
      <c r="N8" s="116">
        <v>5</v>
      </c>
      <c r="O8" s="116">
        <v>8</v>
      </c>
      <c r="P8" s="116" t="s">
        <v>31</v>
      </c>
      <c r="Q8" s="116">
        <v>0.155</v>
      </c>
      <c r="R8" s="116">
        <v>0.36948999999999999</v>
      </c>
      <c r="S8" s="116">
        <v>0.73797000000000001</v>
      </c>
      <c r="T8" s="122">
        <f t="shared" si="0"/>
        <v>1.5037593984962405</v>
      </c>
      <c r="U8" s="117">
        <f t="shared" si="1"/>
        <v>9.6774193548387094E-5</v>
      </c>
      <c r="V8" s="117">
        <f t="shared" si="8"/>
        <v>6200000</v>
      </c>
      <c r="W8" s="124">
        <f t="shared" si="2"/>
        <v>6.1298096879140731</v>
      </c>
      <c r="X8" s="124">
        <f t="shared" si="3"/>
        <v>0.26108085422763633</v>
      </c>
      <c r="Y8" s="123">
        <f t="shared" si="4"/>
        <v>0.58349713733337949</v>
      </c>
      <c r="Z8" s="123">
        <f t="shared" si="5"/>
        <v>32.955966064054159</v>
      </c>
      <c r="AA8" s="124">
        <f t="shared" si="9"/>
        <v>0.15233993105437915</v>
      </c>
    </row>
    <row r="9" spans="1:27" s="116" customFormat="1" ht="26" customHeight="1" x14ac:dyDescent="0.2">
      <c r="A9" s="121" t="s">
        <v>251</v>
      </c>
      <c r="B9" s="116">
        <v>0.872</v>
      </c>
      <c r="C9" s="116">
        <v>0.86599999999999999</v>
      </c>
      <c r="D9" s="116">
        <v>0.878</v>
      </c>
      <c r="E9" s="116">
        <v>13.819000000000001</v>
      </c>
      <c r="F9" s="116">
        <v>23.632999999999999</v>
      </c>
      <c r="G9" s="116">
        <v>26</v>
      </c>
      <c r="H9" s="116">
        <v>1933</v>
      </c>
      <c r="I9" s="117">
        <v>1.47E-2</v>
      </c>
      <c r="J9" s="123">
        <f t="shared" si="6"/>
        <v>27.102064220183486</v>
      </c>
      <c r="K9" s="123">
        <f t="shared" si="7"/>
        <v>2.8092933333333332</v>
      </c>
      <c r="L9" s="126">
        <v>384</v>
      </c>
      <c r="M9" s="117">
        <v>50000</v>
      </c>
      <c r="N9" s="116">
        <v>15</v>
      </c>
      <c r="O9" s="116">
        <v>26</v>
      </c>
      <c r="P9" s="116" t="s">
        <v>31</v>
      </c>
      <c r="Q9" s="116">
        <v>0.65</v>
      </c>
      <c r="R9" s="116">
        <v>0.47077000000000002</v>
      </c>
      <c r="S9" s="116">
        <v>0.94176000000000004</v>
      </c>
      <c r="T9" s="122">
        <f t="shared" si="0"/>
        <v>1.8814675446848541</v>
      </c>
      <c r="U9" s="117">
        <f t="shared" si="1"/>
        <v>2.0642201834862385E-5</v>
      </c>
      <c r="V9" s="117">
        <f t="shared" si="8"/>
        <v>29066666.666666668</v>
      </c>
      <c r="W9" s="124">
        <f t="shared" si="2"/>
        <v>8.8407153884602625</v>
      </c>
      <c r="X9" s="124">
        <f t="shared" si="3"/>
        <v>0.12551458327509984</v>
      </c>
      <c r="Y9" s="123">
        <f t="shared" si="4"/>
        <v>1.7504914120001385</v>
      </c>
      <c r="Z9" s="123">
        <f t="shared" si="5"/>
        <v>10.138435078509476</v>
      </c>
      <c r="AA9" s="124">
        <f t="shared" si="9"/>
        <v>0.21971220010383849</v>
      </c>
    </row>
    <row r="10" spans="1:27" s="116" customFormat="1" ht="26" customHeight="1" x14ac:dyDescent="0.2">
      <c r="A10" s="121" t="s">
        <v>260</v>
      </c>
      <c r="B10" s="116">
        <v>0.47099999999999997</v>
      </c>
      <c r="C10" s="116">
        <v>0.47</v>
      </c>
      <c r="D10" s="116">
        <v>0.47199999999999998</v>
      </c>
      <c r="E10" s="116">
        <v>13.516</v>
      </c>
      <c r="F10" s="116">
        <v>18.681000000000001</v>
      </c>
      <c r="G10" s="116">
        <v>20</v>
      </c>
      <c r="H10" s="116">
        <v>3663</v>
      </c>
      <c r="I10" s="117">
        <v>1E-8</v>
      </c>
      <c r="J10" s="123">
        <f t="shared" si="6"/>
        <v>39.662420382165607</v>
      </c>
      <c r="K10" s="123">
        <f t="shared" si="7"/>
        <v>2.8754549999999997</v>
      </c>
      <c r="L10" s="126">
        <v>384</v>
      </c>
      <c r="M10" s="117">
        <v>5000</v>
      </c>
      <c r="N10" s="116">
        <v>12</v>
      </c>
      <c r="O10" s="116">
        <v>20</v>
      </c>
      <c r="P10" s="116" t="s">
        <v>31</v>
      </c>
      <c r="Q10" s="116">
        <v>0.46400000000000002</v>
      </c>
      <c r="R10" s="116">
        <v>0.57479999999999998</v>
      </c>
      <c r="S10" s="116">
        <v>1.1344399999999999</v>
      </c>
      <c r="T10" s="122">
        <f t="shared" si="0"/>
        <v>1.4797277300976621</v>
      </c>
      <c r="U10" s="117">
        <f t="shared" si="1"/>
        <v>3.8216560509554143E-5</v>
      </c>
      <c r="V10" s="117">
        <f t="shared" si="8"/>
        <v>15699999.999999998</v>
      </c>
      <c r="W10" s="124">
        <f t="shared" si="2"/>
        <v>3.8093487835194972</v>
      </c>
      <c r="X10" s="124">
        <f t="shared" si="3"/>
        <v>0.6760324307819271</v>
      </c>
      <c r="Y10" s="123">
        <f t="shared" si="4"/>
        <v>0.44284319091877122</v>
      </c>
      <c r="Z10" s="123">
        <f t="shared" si="5"/>
        <v>8.087789349298296</v>
      </c>
      <c r="AA10" s="124">
        <f t="shared" si="9"/>
        <v>0.29937635881204194</v>
      </c>
    </row>
    <row r="11" spans="1:27" s="116" customFormat="1" ht="26" customHeight="1" x14ac:dyDescent="0.2">
      <c r="A11" s="121" t="s">
        <v>261</v>
      </c>
      <c r="B11" s="116">
        <v>0.68700000000000006</v>
      </c>
      <c r="C11" s="116">
        <v>0.68300000000000005</v>
      </c>
      <c r="D11" s="116">
        <v>0.69</v>
      </c>
      <c r="E11" s="116">
        <v>11.617000000000001</v>
      </c>
      <c r="F11" s="116">
        <v>19.177</v>
      </c>
      <c r="G11" s="116">
        <v>21</v>
      </c>
      <c r="H11" s="116">
        <v>2701</v>
      </c>
      <c r="I11" s="117">
        <v>8.7399999999999995E-3</v>
      </c>
      <c r="J11" s="123">
        <f t="shared" si="6"/>
        <v>27.914119359534205</v>
      </c>
      <c r="K11" s="123">
        <f t="shared" si="7"/>
        <v>3.0926450000000005</v>
      </c>
      <c r="L11" s="126">
        <v>384</v>
      </c>
      <c r="M11" s="117">
        <v>50000</v>
      </c>
      <c r="N11" s="116">
        <v>12</v>
      </c>
      <c r="O11" s="116">
        <v>21</v>
      </c>
      <c r="P11" s="116" t="s">
        <v>31</v>
      </c>
      <c r="Q11" s="116">
        <v>0.46400000000000002</v>
      </c>
      <c r="R11" s="116">
        <v>0.44818999999999998</v>
      </c>
      <c r="S11" s="116">
        <v>0.89644000000000001</v>
      </c>
      <c r="T11" s="122">
        <f t="shared" si="0"/>
        <v>1.8076956184901436</v>
      </c>
      <c r="U11" s="117">
        <f t="shared" si="1"/>
        <v>2.6200873362445413E-5</v>
      </c>
      <c r="V11" s="117">
        <f t="shared" si="8"/>
        <v>22900000</v>
      </c>
      <c r="W11" s="124">
        <f t="shared" si="2"/>
        <v>8.2069931656451622</v>
      </c>
      <c r="X11" s="124">
        <f t="shared" si="3"/>
        <v>0.14564677204631618</v>
      </c>
      <c r="Y11" s="123">
        <f t="shared" si="4"/>
        <v>1.4003931296001109</v>
      </c>
      <c r="Z11" s="123">
        <f t="shared" si="5"/>
        <v>11.946132701084661</v>
      </c>
      <c r="AA11" s="124">
        <f t="shared" si="9"/>
        <v>0.20396273892209466</v>
      </c>
    </row>
    <row r="12" spans="1:27" ht="26" customHeight="1" x14ac:dyDescent="0.2">
      <c r="A12" s="121" t="s">
        <v>262</v>
      </c>
      <c r="B12" s="116">
        <v>0.65100000000000002</v>
      </c>
      <c r="C12" s="116">
        <v>0.64500000000000002</v>
      </c>
      <c r="D12" s="116">
        <v>0.65700000000000003</v>
      </c>
      <c r="E12" s="116">
        <v>11.308999999999999</v>
      </c>
      <c r="F12" s="116">
        <v>19.117999999999999</v>
      </c>
      <c r="G12" s="116">
        <v>21</v>
      </c>
      <c r="H12" s="116">
        <v>3000</v>
      </c>
      <c r="I12" s="117">
        <v>8.5800000000000008E-3</v>
      </c>
      <c r="J12" s="123">
        <f t="shared" si="6"/>
        <v>29.36712749615975</v>
      </c>
      <c r="K12" s="123">
        <f t="shared" si="7"/>
        <v>3.2549999999999999</v>
      </c>
      <c r="L12" s="126">
        <v>384</v>
      </c>
      <c r="M12" s="117">
        <v>100000</v>
      </c>
      <c r="N12" s="116">
        <v>12</v>
      </c>
      <c r="O12" s="116">
        <v>21</v>
      </c>
      <c r="P12" s="116" t="s">
        <v>31</v>
      </c>
      <c r="Q12" s="116">
        <v>0.46400000000000002</v>
      </c>
      <c r="R12" s="116">
        <v>0.41533999999999999</v>
      </c>
      <c r="S12" s="116">
        <v>0.83106999999999998</v>
      </c>
      <c r="T12" s="122">
        <f t="shared" si="0"/>
        <v>1.8569281103545849</v>
      </c>
      <c r="U12" s="117">
        <f t="shared" si="1"/>
        <v>2.7649769585253457E-5</v>
      </c>
      <c r="V12" s="117">
        <f t="shared" si="8"/>
        <v>21700000</v>
      </c>
      <c r="W12" s="124">
        <f t="shared" si="2"/>
        <v>10.340163445739709</v>
      </c>
      <c r="X12" s="124">
        <f t="shared" si="3"/>
        <v>9.1751716975197017E-2</v>
      </c>
      <c r="Y12" s="123">
        <f t="shared" si="4"/>
        <v>1.9804549565345801</v>
      </c>
      <c r="Z12" s="123">
        <f t="shared" si="5"/>
        <v>15.883507597142408</v>
      </c>
      <c r="AA12" s="124">
        <f t="shared" si="9"/>
        <v>0.18171014265408691</v>
      </c>
    </row>
    <row r="13" spans="1:27" ht="26" customHeight="1" x14ac:dyDescent="0.2">
      <c r="A13" s="121" t="s">
        <v>263</v>
      </c>
      <c r="B13" s="116">
        <v>0.185</v>
      </c>
      <c r="C13" s="116">
        <v>0.185</v>
      </c>
      <c r="D13" s="116">
        <v>0.185</v>
      </c>
      <c r="E13" s="116">
        <v>5.3140000000000001</v>
      </c>
      <c r="F13" s="116">
        <v>7.4409999999999998</v>
      </c>
      <c r="G13" s="116">
        <v>8</v>
      </c>
      <c r="H13" s="116">
        <v>7862</v>
      </c>
      <c r="I13" s="117">
        <v>3.4999999999999997E-5</v>
      </c>
      <c r="J13" s="123">
        <f t="shared" si="6"/>
        <v>40.221621621621622</v>
      </c>
      <c r="K13" s="123">
        <f t="shared" si="7"/>
        <v>2.4241166666666669</v>
      </c>
      <c r="L13" s="126">
        <v>384</v>
      </c>
      <c r="M13" s="117">
        <v>50000</v>
      </c>
      <c r="N13" s="116">
        <v>5</v>
      </c>
      <c r="O13" s="116">
        <v>8</v>
      </c>
      <c r="P13" s="116" t="s">
        <v>31</v>
      </c>
      <c r="Q13" s="116">
        <v>0.155</v>
      </c>
      <c r="R13" s="116">
        <v>0.36948999999999999</v>
      </c>
      <c r="S13" s="116">
        <v>0.73797000000000001</v>
      </c>
      <c r="T13" s="122">
        <f t="shared" si="0"/>
        <v>1.5054572826496049</v>
      </c>
      <c r="U13" s="117">
        <f t="shared" si="1"/>
        <v>9.7297297297297295E-5</v>
      </c>
      <c r="V13" s="117">
        <f t="shared" si="8"/>
        <v>6166666.666666667</v>
      </c>
      <c r="W13" s="124">
        <f t="shared" si="2"/>
        <v>6.1298096879140731</v>
      </c>
      <c r="X13" s="124">
        <f t="shared" si="3"/>
        <v>0.26108085422763633</v>
      </c>
      <c r="Y13" s="123">
        <f t="shared" si="4"/>
        <v>0.58349713733337949</v>
      </c>
      <c r="Z13" s="123">
        <f t="shared" si="5"/>
        <v>33.134106421157149</v>
      </c>
      <c r="AA13" s="124">
        <f t="shared" si="9"/>
        <v>0.15233993105437915</v>
      </c>
    </row>
    <row r="14" spans="1:27" ht="26" customHeight="1" x14ac:dyDescent="0.2">
      <c r="A14" s="121" t="s">
        <v>264</v>
      </c>
      <c r="B14" s="116">
        <v>0.85499999999999998</v>
      </c>
      <c r="C14" s="116">
        <v>0.84799999999999998</v>
      </c>
      <c r="D14" s="116">
        <v>0.86099999999999999</v>
      </c>
      <c r="E14" s="116">
        <v>13.567</v>
      </c>
      <c r="F14" s="116">
        <v>23.623999999999999</v>
      </c>
      <c r="G14" s="116">
        <v>26</v>
      </c>
      <c r="H14" s="116"/>
      <c r="I14" s="117">
        <v>1.43E-2</v>
      </c>
      <c r="J14" s="123">
        <f t="shared" si="6"/>
        <v>27.630409356725146</v>
      </c>
      <c r="K14" s="123">
        <f t="shared" si="7"/>
        <v>0</v>
      </c>
      <c r="L14" s="126">
        <v>384</v>
      </c>
      <c r="M14" s="117">
        <v>50000</v>
      </c>
      <c r="N14" s="116">
        <v>15</v>
      </c>
      <c r="O14" s="116">
        <v>26</v>
      </c>
      <c r="P14" s="116" t="s">
        <v>31</v>
      </c>
      <c r="Q14" s="116">
        <v>0.65</v>
      </c>
      <c r="R14" s="116">
        <v>0.47077000000000002</v>
      </c>
      <c r="S14" s="116">
        <v>0.94176000000000004</v>
      </c>
      <c r="T14" s="122">
        <f t="shared" si="0"/>
        <v>1.9164148301024544</v>
      </c>
      <c r="U14" s="117">
        <f t="shared" si="1"/>
        <v>2.1052631578947369E-5</v>
      </c>
      <c r="V14" s="117">
        <f t="shared" si="8"/>
        <v>28500000</v>
      </c>
      <c r="W14" s="124">
        <f t="shared" si="2"/>
        <v>8.8407153884602625</v>
      </c>
      <c r="X14" s="124">
        <f t="shared" si="3"/>
        <v>0.12551458327509984</v>
      </c>
      <c r="Y14" s="123">
        <f t="shared" si="4"/>
        <v>1.7504914120001385</v>
      </c>
      <c r="Z14" s="123">
        <f t="shared" si="5"/>
        <v>10.340017998199137</v>
      </c>
      <c r="AA14" s="124">
        <f t="shared" si="9"/>
        <v>0.21971220010383849</v>
      </c>
    </row>
    <row r="15" spans="1:27" s="116" customFormat="1" ht="26" customHeight="1" x14ac:dyDescent="0.2">
      <c r="A15" s="121" t="s">
        <v>259</v>
      </c>
      <c r="B15" s="116">
        <v>0.503</v>
      </c>
      <c r="C15" s="116">
        <v>0.5</v>
      </c>
      <c r="D15" s="116">
        <v>0.505</v>
      </c>
      <c r="H15" s="116">
        <v>3476</v>
      </c>
      <c r="J15" s="123">
        <f t="shared" si="6"/>
        <v>0</v>
      </c>
      <c r="K15" s="123">
        <f t="shared" si="7"/>
        <v>2.9140466666666667</v>
      </c>
      <c r="L15" s="126">
        <v>384</v>
      </c>
      <c r="M15" s="117">
        <v>10000</v>
      </c>
      <c r="N15" s="116">
        <v>12</v>
      </c>
      <c r="O15" s="116">
        <v>20</v>
      </c>
      <c r="P15" s="116" t="s">
        <v>267</v>
      </c>
      <c r="Q15" s="116">
        <v>0.46400000000000002</v>
      </c>
      <c r="R15" s="116">
        <v>0.53410999999999997</v>
      </c>
      <c r="S15" s="116">
        <v>1.0630500000000001</v>
      </c>
      <c r="T15" s="122" t="e">
        <f t="shared" si="0"/>
        <v>#DIV/0!</v>
      </c>
      <c r="U15" s="117">
        <f t="shared" si="1"/>
        <v>3.5785288270377733E-5</v>
      </c>
      <c r="V15" s="117">
        <f t="shared" si="8"/>
        <v>16766666.666666668</v>
      </c>
      <c r="W15" s="124">
        <f t="shared" si="2"/>
        <v>4.7994787187476415</v>
      </c>
      <c r="X15" s="124">
        <f t="shared" si="3"/>
        <v>0.42587374497687464</v>
      </c>
      <c r="Y15" s="123">
        <f t="shared" si="4"/>
        <v>0.62627484660190413</v>
      </c>
      <c r="Z15" s="123">
        <f t="shared" si="5"/>
        <v>9.541707194329307</v>
      </c>
      <c r="AA15" s="124">
        <f t="shared" si="9"/>
        <v>0.26671401430717062</v>
      </c>
    </row>
    <row r="16" spans="1:27" s="116" customFormat="1" ht="26" customHeight="1" x14ac:dyDescent="0.2">
      <c r="A16" s="121" t="s">
        <v>233</v>
      </c>
      <c r="B16" s="116">
        <v>0.36799999999999999</v>
      </c>
      <c r="C16" s="116">
        <v>0.36599999999999999</v>
      </c>
      <c r="D16" s="116">
        <v>0.37</v>
      </c>
      <c r="E16" s="116">
        <v>8.0609999999999999</v>
      </c>
      <c r="F16" s="116">
        <v>11.97</v>
      </c>
      <c r="G16" s="116">
        <v>13</v>
      </c>
      <c r="H16" s="116">
        <v>5001</v>
      </c>
      <c r="J16" s="123">
        <f t="shared" si="6"/>
        <v>32.527173913043484</v>
      </c>
      <c r="K16" s="123">
        <f t="shared" si="7"/>
        <v>3.0672799999999998</v>
      </c>
      <c r="L16" s="126">
        <v>384</v>
      </c>
      <c r="M16" s="117">
        <v>5000</v>
      </c>
      <c r="N16" s="116">
        <v>8</v>
      </c>
      <c r="O16" s="116">
        <v>13</v>
      </c>
      <c r="P16" s="116" t="s">
        <v>266</v>
      </c>
      <c r="Q16" s="116">
        <v>0.26</v>
      </c>
      <c r="R16" s="116">
        <v>0.52398</v>
      </c>
      <c r="S16" s="116">
        <v>1.02396</v>
      </c>
      <c r="T16" s="122">
        <f t="shared" si="0"/>
        <v>1.6127031385684159</v>
      </c>
      <c r="U16" s="117">
        <f t="shared" si="1"/>
        <v>4.8913043478260872E-5</v>
      </c>
      <c r="V16" s="117">
        <f t="shared" si="8"/>
        <v>12266666.666666666</v>
      </c>
      <c r="W16" s="124">
        <f t="shared" si="2"/>
        <v>3.3277726806496162</v>
      </c>
      <c r="X16" s="124">
        <f t="shared" si="3"/>
        <v>0.88585308758892845</v>
      </c>
      <c r="Y16" s="123">
        <f t="shared" si="4"/>
        <v>0.2952287939458475</v>
      </c>
      <c r="Z16" s="123">
        <f t="shared" si="5"/>
        <v>9.0428605452435225</v>
      </c>
      <c r="AA16" s="124">
        <f t="shared" si="9"/>
        <v>0.26152933866208455</v>
      </c>
    </row>
    <row r="17" spans="1:27" s="116" customFormat="1" ht="26" customHeight="1" x14ac:dyDescent="0.2">
      <c r="A17" s="121" t="s">
        <v>235</v>
      </c>
      <c r="B17" s="116">
        <v>0.36799999999999999</v>
      </c>
      <c r="C17" s="116">
        <v>0.36599999999999999</v>
      </c>
      <c r="D17" s="116">
        <v>0.36899999999999999</v>
      </c>
      <c r="E17" s="116">
        <v>8.0410000000000004</v>
      </c>
      <c r="F17" s="116">
        <v>11.920999999999999</v>
      </c>
      <c r="G17" s="116">
        <v>13</v>
      </c>
      <c r="H17" s="116">
        <v>5449</v>
      </c>
      <c r="J17" s="123">
        <f t="shared" si="6"/>
        <v>32.39402173913043</v>
      </c>
      <c r="K17" s="123">
        <f t="shared" si="7"/>
        <v>3.3420533333333333</v>
      </c>
      <c r="L17" s="126">
        <v>384</v>
      </c>
      <c r="M17" s="117">
        <v>50000</v>
      </c>
      <c r="N17" s="116">
        <v>8</v>
      </c>
      <c r="O17" s="116">
        <v>13</v>
      </c>
      <c r="P17" s="116" t="s">
        <v>266</v>
      </c>
      <c r="Q17" s="116">
        <v>0.26</v>
      </c>
      <c r="R17" s="116">
        <v>0.40988000000000002</v>
      </c>
      <c r="S17" s="116">
        <v>0.81942999999999999</v>
      </c>
      <c r="T17" s="122">
        <f t="shared" si="0"/>
        <v>1.6167143390125605</v>
      </c>
      <c r="U17" s="117">
        <f t="shared" si="1"/>
        <v>4.8913043478260872E-5</v>
      </c>
      <c r="V17" s="117">
        <f t="shared" si="8"/>
        <v>12266666.666666666</v>
      </c>
      <c r="W17" s="124">
        <f t="shared" si="2"/>
        <v>7.1694689037319268</v>
      </c>
      <c r="X17" s="124">
        <f t="shared" si="3"/>
        <v>0.19085126221734416</v>
      </c>
      <c r="Y17" s="123">
        <f t="shared" si="4"/>
        <v>0.93359541973340721</v>
      </c>
      <c r="Z17" s="123">
        <f t="shared" si="5"/>
        <v>19.482252455793279</v>
      </c>
      <c r="AA17" s="124">
        <f t="shared" si="9"/>
        <v>0.17817786425645199</v>
      </c>
    </row>
    <row r="18" spans="1:27" s="116" customFormat="1" ht="26" customHeight="1" x14ac:dyDescent="0.2">
      <c r="A18" s="121" t="s">
        <v>236</v>
      </c>
      <c r="B18" s="116">
        <v>0.69</v>
      </c>
      <c r="C18" s="116">
        <v>0.68600000000000005</v>
      </c>
      <c r="D18" s="116">
        <v>0.69499999999999995</v>
      </c>
      <c r="E18" s="116">
        <v>11.993</v>
      </c>
      <c r="F18" s="116">
        <v>19.18</v>
      </c>
      <c r="G18" s="116">
        <v>21</v>
      </c>
      <c r="H18" s="116">
        <v>2616</v>
      </c>
      <c r="J18" s="123">
        <f t="shared" si="6"/>
        <v>27.797101449275363</v>
      </c>
      <c r="K18" s="123">
        <f t="shared" si="7"/>
        <v>3.0084</v>
      </c>
      <c r="L18" s="126">
        <v>384</v>
      </c>
      <c r="M18" s="117">
        <v>100000</v>
      </c>
      <c r="N18" s="116">
        <v>12</v>
      </c>
      <c r="O18" s="116">
        <v>21</v>
      </c>
      <c r="P18" s="116" t="s">
        <v>266</v>
      </c>
      <c r="Q18" s="116">
        <v>0.46400000000000002</v>
      </c>
      <c r="R18" s="116">
        <v>0.41533999999999999</v>
      </c>
      <c r="S18" s="116">
        <v>0.83106999999999998</v>
      </c>
      <c r="T18" s="122">
        <f t="shared" si="0"/>
        <v>1.7510214291670141</v>
      </c>
      <c r="U18" s="117">
        <f t="shared" si="1"/>
        <v>2.6086956521739132E-5</v>
      </c>
      <c r="V18" s="117">
        <f t="shared" si="8"/>
        <v>23000000</v>
      </c>
      <c r="W18" s="124">
        <f t="shared" si="2"/>
        <v>10.340163445739709</v>
      </c>
      <c r="X18" s="124">
        <f t="shared" si="3"/>
        <v>9.1751716975197017E-2</v>
      </c>
      <c r="Y18" s="123">
        <f t="shared" si="4"/>
        <v>1.9804549565345801</v>
      </c>
      <c r="Z18" s="123">
        <f t="shared" si="5"/>
        <v>14.985744124260448</v>
      </c>
      <c r="AA18" s="124">
        <f t="shared" si="9"/>
        <v>0.18171014265408691</v>
      </c>
    </row>
    <row r="19" spans="1:27" ht="26" customHeight="1" x14ac:dyDescent="0.2">
      <c r="A19" s="121" t="s">
        <v>237</v>
      </c>
      <c r="B19" s="116">
        <v>0.372</v>
      </c>
      <c r="C19" s="116">
        <v>0.37</v>
      </c>
      <c r="D19" s="116">
        <v>0.373</v>
      </c>
      <c r="E19" s="116">
        <v>8.1440000000000001</v>
      </c>
      <c r="F19" s="116">
        <v>11.965</v>
      </c>
      <c r="G19" s="116">
        <v>13</v>
      </c>
      <c r="H19" s="116">
        <v>5067</v>
      </c>
      <c r="I19" s="116"/>
      <c r="J19" s="123">
        <f t="shared" si="6"/>
        <v>32.163978494623656</v>
      </c>
      <c r="K19" s="123">
        <f t="shared" si="7"/>
        <v>3.14154</v>
      </c>
      <c r="L19" s="126">
        <v>384</v>
      </c>
      <c r="M19" s="117">
        <v>100000</v>
      </c>
      <c r="N19" s="116">
        <v>8</v>
      </c>
      <c r="O19" s="116">
        <v>13</v>
      </c>
      <c r="P19" s="116" t="s">
        <v>266</v>
      </c>
      <c r="Q19" s="116">
        <v>0.26</v>
      </c>
      <c r="R19" s="116">
        <v>0.37988</v>
      </c>
      <c r="S19" s="116">
        <v>0.75995999999999997</v>
      </c>
      <c r="T19" s="122">
        <f t="shared" si="0"/>
        <v>1.5962671905697445</v>
      </c>
      <c r="U19" s="117">
        <f t="shared" si="1"/>
        <v>4.8387096774193547E-5</v>
      </c>
      <c r="V19" s="117">
        <f t="shared" si="8"/>
        <v>12400000</v>
      </c>
      <c r="W19" s="124">
        <f t="shared" si="2"/>
        <v>9.03296478837858</v>
      </c>
      <c r="X19" s="124">
        <f t="shared" si="3"/>
        <v>0.12022876133331907</v>
      </c>
      <c r="Y19" s="123">
        <f t="shared" si="4"/>
        <v>1.3203033043563868</v>
      </c>
      <c r="Z19" s="123">
        <f t="shared" si="5"/>
        <v>24.282163409619837</v>
      </c>
      <c r="AA19" s="124">
        <f t="shared" si="9"/>
        <v>0.15873843086705655</v>
      </c>
    </row>
    <row r="20" spans="1:27" ht="26" customHeight="1" x14ac:dyDescent="0.2">
      <c r="A20" s="121" t="s">
        <v>250</v>
      </c>
      <c r="B20" s="116">
        <v>0.503</v>
      </c>
      <c r="C20" s="116">
        <v>0.501</v>
      </c>
      <c r="D20" s="116">
        <v>0.505</v>
      </c>
      <c r="E20" s="116">
        <v>9.8279999999999994</v>
      </c>
      <c r="F20" s="116">
        <v>15.45</v>
      </c>
      <c r="G20" s="116">
        <v>17</v>
      </c>
      <c r="H20" s="116">
        <v>3666</v>
      </c>
      <c r="I20" s="116"/>
      <c r="J20" s="123">
        <f t="shared" si="6"/>
        <v>30.715705765407552</v>
      </c>
      <c r="K20" s="123">
        <f t="shared" si="7"/>
        <v>3.0733299999999999</v>
      </c>
      <c r="L20" s="126">
        <v>384</v>
      </c>
      <c r="M20" s="117">
        <v>50000</v>
      </c>
      <c r="N20" s="116">
        <v>10</v>
      </c>
      <c r="O20" s="116">
        <v>17</v>
      </c>
      <c r="P20" s="116" t="s">
        <v>266</v>
      </c>
      <c r="Q20" s="116">
        <v>0.34</v>
      </c>
      <c r="R20" s="116">
        <v>0.43053999999999998</v>
      </c>
      <c r="S20" s="116">
        <v>0.86099000000000003</v>
      </c>
      <c r="T20" s="122">
        <f t="shared" si="0"/>
        <v>1.7297517297517297</v>
      </c>
      <c r="U20" s="117">
        <f t="shared" si="1"/>
        <v>3.5785288270377733E-5</v>
      </c>
      <c r="V20" s="117">
        <f t="shared" si="8"/>
        <v>16766666.666666668</v>
      </c>
      <c r="W20" s="124">
        <f t="shared" si="2"/>
        <v>7.7230762576524619</v>
      </c>
      <c r="X20" s="124">
        <f t="shared" si="3"/>
        <v>0.16447063198296691</v>
      </c>
      <c r="Y20" s="123">
        <f t="shared" si="4"/>
        <v>1.166994274666759</v>
      </c>
      <c r="Z20" s="123">
        <f t="shared" si="5"/>
        <v>15.354028345233523</v>
      </c>
      <c r="AA20" s="124">
        <f t="shared" si="9"/>
        <v>0.19193628587494591</v>
      </c>
    </row>
  </sheetData>
  <sortState xmlns:xlrd2="http://schemas.microsoft.com/office/spreadsheetml/2017/richdata2" ref="A5:AA20">
    <sortCondition descending="1" ref="P2:P20"/>
  </sortState>
  <conditionalFormatting sqref="P2:P20">
    <cfRule type="containsText" dxfId="34" priority="1" stopIfTrue="1" operator="containsText" text="bad">
      <formula>NOT(ISERROR(SEARCH("bad",P2)))</formula>
    </cfRule>
    <cfRule type="containsText" dxfId="33" priority="20" stopIfTrue="1" operator="containsText" text="error">
      <formula>NOT(ISERROR(SEARCH("error",P2)))</formula>
    </cfRule>
    <cfRule type="containsText" dxfId="32" priority="21" stopIfTrue="1" operator="containsText" text="running">
      <formula>NOT(ISERROR(SEARCH("running",P2)))</formula>
    </cfRule>
    <cfRule type="containsText" dxfId="31" priority="22" operator="containsText" text="done">
      <formula>NOT(ISERROR(SEARCH("done",P2)))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8359-F89B-314F-BB36-0D3BC08D19A4}">
  <dimension ref="A1:AF29"/>
  <sheetViews>
    <sheetView workbookViewId="0">
      <pane xSplit="1" ySplit="1" topLeftCell="D3" activePane="bottomRight" state="frozen"/>
      <selection pane="topRight" activeCell="B1" sqref="B1"/>
      <selection pane="bottomLeft" activeCell="A2" sqref="A2"/>
      <selection pane="bottomRight" activeCell="A13" sqref="A13:XFD13"/>
    </sheetView>
  </sheetViews>
  <sheetFormatPr baseColWidth="10" defaultRowHeight="16" x14ac:dyDescent="0.2"/>
  <cols>
    <col min="1" max="1" width="18.5" customWidth="1"/>
    <col min="2" max="2" width="15.5" customWidth="1"/>
    <col min="3" max="3" width="16.83203125" customWidth="1"/>
    <col min="4" max="4" width="10.33203125" customWidth="1"/>
    <col min="5" max="5" width="8.83203125" customWidth="1"/>
    <col min="7" max="7" width="12.5" customWidth="1"/>
    <col min="10" max="10" width="7.1640625" customWidth="1"/>
    <col min="11" max="12" width="6.1640625" customWidth="1"/>
    <col min="13" max="13" width="9" customWidth="1"/>
    <col min="14" max="14" width="13.83203125" customWidth="1"/>
    <col min="23" max="24" width="8.1640625" customWidth="1"/>
    <col min="25" max="25" width="11.1640625" customWidth="1"/>
    <col min="26" max="26" width="9.5" customWidth="1"/>
    <col min="27" max="27" width="7.6640625" customWidth="1"/>
    <col min="28" max="28" width="9.33203125" customWidth="1"/>
    <col min="29" max="31" width="9.1640625" customWidth="1"/>
    <col min="32" max="32" width="30.83203125" customWidth="1"/>
  </cols>
  <sheetData>
    <row r="1" spans="1:32" s="118" customFormat="1" ht="26" customHeight="1" thickBot="1" x14ac:dyDescent="0.25">
      <c r="A1" s="120" t="s">
        <v>226</v>
      </c>
      <c r="B1" s="118" t="s">
        <v>268</v>
      </c>
      <c r="C1" s="118" t="s">
        <v>284</v>
      </c>
      <c r="D1" s="118" t="s">
        <v>285</v>
      </c>
      <c r="E1" s="118" t="s">
        <v>286</v>
      </c>
      <c r="F1" s="118" t="s">
        <v>287</v>
      </c>
      <c r="G1" s="118" t="s">
        <v>274</v>
      </c>
      <c r="H1" s="118" t="s">
        <v>288</v>
      </c>
      <c r="I1" s="118" t="s">
        <v>289</v>
      </c>
      <c r="J1" s="118" t="s">
        <v>122</v>
      </c>
      <c r="K1" s="119" t="s">
        <v>45</v>
      </c>
      <c r="L1" s="119" t="s">
        <v>163</v>
      </c>
      <c r="M1" s="119" t="s">
        <v>227</v>
      </c>
      <c r="N1" s="119" t="s">
        <v>290</v>
      </c>
      <c r="O1" s="119" t="s">
        <v>291</v>
      </c>
      <c r="P1" s="118" t="s">
        <v>240</v>
      </c>
      <c r="Q1" s="118" t="s">
        <v>292</v>
      </c>
      <c r="R1" s="118" t="s">
        <v>242</v>
      </c>
      <c r="S1" s="118" t="s">
        <v>243</v>
      </c>
      <c r="T1" s="118" t="s">
        <v>252</v>
      </c>
      <c r="U1" s="118" t="s">
        <v>254</v>
      </c>
      <c r="V1" s="118" t="s">
        <v>253</v>
      </c>
      <c r="W1" s="118" t="s">
        <v>195</v>
      </c>
      <c r="X1" s="118" t="s">
        <v>191</v>
      </c>
      <c r="Y1" s="118" t="s">
        <v>336</v>
      </c>
      <c r="Z1" s="118" t="s">
        <v>361</v>
      </c>
      <c r="AA1" s="118" t="s">
        <v>192</v>
      </c>
      <c r="AB1" s="118" t="s">
        <v>204</v>
      </c>
      <c r="AC1" s="118" t="s">
        <v>258</v>
      </c>
      <c r="AD1" s="118" t="s">
        <v>299</v>
      </c>
      <c r="AE1" s="118" t="s">
        <v>335</v>
      </c>
      <c r="AF1" s="118" t="s">
        <v>276</v>
      </c>
    </row>
    <row r="2" spans="1:32" s="116" customFormat="1" ht="26" hidden="1" customHeight="1" x14ac:dyDescent="0.2">
      <c r="A2" s="121" t="s">
        <v>269</v>
      </c>
      <c r="E2" s="116">
        <v>21</v>
      </c>
      <c r="G2" s="127"/>
      <c r="H2" s="123" t="e">
        <f t="shared" ref="H2:H13" si="0">D2/B2</f>
        <v>#DIV/0!</v>
      </c>
      <c r="I2" s="123">
        <f t="shared" ref="I2:I13" si="1">F2*B2/600</f>
        <v>0</v>
      </c>
      <c r="J2" s="123"/>
      <c r="K2" s="126">
        <v>384</v>
      </c>
      <c r="L2" s="126"/>
      <c r="M2" s="117">
        <v>1000</v>
      </c>
      <c r="N2" s="116">
        <v>12</v>
      </c>
      <c r="O2" s="116">
        <v>21</v>
      </c>
      <c r="Q2" s="116">
        <v>0.46400000000000002</v>
      </c>
      <c r="T2" s="122" t="e">
        <f t="shared" ref="T2:T13" si="2">E2/C2</f>
        <v>#DIV/0!</v>
      </c>
      <c r="U2" s="117" t="e">
        <f t="shared" ref="U2:U13" si="3">0.000018/B2</f>
        <v>#DIV/0!</v>
      </c>
      <c r="V2" s="117" t="e">
        <f t="shared" ref="V2:V13" si="4">600/U2</f>
        <v>#DIV/0!</v>
      </c>
      <c r="W2" s="124">
        <f t="shared" ref="W2:W11" si="5">1/22*(9.81*N2*M2)^(1/3)</f>
        <v>2.2277206828101219</v>
      </c>
      <c r="X2" s="124">
        <f t="shared" ref="X2:X8" si="6">22^2 * (9.81 / N2^2 / M2^2) ^ (1/3)</f>
        <v>1.976730819213516</v>
      </c>
      <c r="Y2" s="124">
        <f>2*PI()/X2</f>
        <v>3.1785740608220414</v>
      </c>
      <c r="Z2" s="124"/>
      <c r="AA2" s="124">
        <f t="shared" ref="AA2:AA8" si="7">4*SQRT(0.000000167 * N2^2 * M2 / 9.81)</f>
        <v>0.198045495653458</v>
      </c>
      <c r="AB2" s="123" t="e">
        <f t="shared" ref="AB2:AB13" si="8">W2/B2</f>
        <v>#DIV/0!</v>
      </c>
      <c r="AC2" s="124">
        <f t="shared" ref="AC2:AC29" si="9">X2*AA2</f>
        <v>0.39148263486460683</v>
      </c>
      <c r="AD2" s="124" t="s">
        <v>300</v>
      </c>
      <c r="AE2" s="124"/>
    </row>
    <row r="3" spans="1:32" s="116" customFormat="1" ht="26" customHeight="1" x14ac:dyDescent="0.2">
      <c r="A3" s="121" t="s">
        <v>296</v>
      </c>
      <c r="B3" s="116">
        <v>0.69299999999999995</v>
      </c>
      <c r="C3" s="116">
        <v>11.512</v>
      </c>
      <c r="E3" s="116">
        <v>21</v>
      </c>
      <c r="F3" s="116">
        <v>2712</v>
      </c>
      <c r="G3" s="127">
        <v>4.65E-2</v>
      </c>
      <c r="H3" s="123">
        <f t="shared" si="0"/>
        <v>0</v>
      </c>
      <c r="I3" s="123">
        <f t="shared" si="1"/>
        <v>3.1323599999999998</v>
      </c>
      <c r="J3" s="123">
        <v>3000</v>
      </c>
      <c r="K3" s="126">
        <v>384</v>
      </c>
      <c r="L3" s="123">
        <f>J3/K3</f>
        <v>7.8125</v>
      </c>
      <c r="M3" s="117">
        <v>10000</v>
      </c>
      <c r="N3" s="116">
        <v>12</v>
      </c>
      <c r="O3" s="116">
        <v>21</v>
      </c>
      <c r="P3" s="116" t="s">
        <v>31</v>
      </c>
      <c r="Q3" s="116">
        <v>0.46400000000000002</v>
      </c>
      <c r="R3" s="116">
        <v>0.21278</v>
      </c>
      <c r="S3" s="116">
        <v>0.24637000000000001</v>
      </c>
      <c r="T3" s="122">
        <f t="shared" si="2"/>
        <v>1.8241834607366225</v>
      </c>
      <c r="U3" s="117">
        <f t="shared" si="3"/>
        <v>2.5974025974025975E-5</v>
      </c>
      <c r="V3" s="117">
        <f t="shared" si="4"/>
        <v>23100000</v>
      </c>
      <c r="W3" s="124">
        <f t="shared" si="5"/>
        <v>4.7994787187476415</v>
      </c>
      <c r="X3" s="124">
        <f t="shared" si="6"/>
        <v>0.42587374497687464</v>
      </c>
      <c r="Y3" s="124">
        <f t="shared" ref="Y3:Y23" si="10">2*PI()/X3</f>
        <v>14.753633867522801</v>
      </c>
      <c r="Z3" s="124">
        <f>Y3/(2*L3)</f>
        <v>0.94423256752145923</v>
      </c>
      <c r="AA3" s="124">
        <f t="shared" si="7"/>
        <v>0.62627484660190413</v>
      </c>
      <c r="AB3" s="123">
        <f t="shared" si="8"/>
        <v>6.9256547168075642</v>
      </c>
      <c r="AC3" s="124">
        <f t="shared" si="9"/>
        <v>0.26671401430717062</v>
      </c>
      <c r="AD3" s="124" t="s">
        <v>300</v>
      </c>
      <c r="AE3" s="117">
        <f>SQRT((0.11*0.000018*B3)^2+(G3*R3)^2)</f>
        <v>9.89427009514437E-3</v>
      </c>
    </row>
    <row r="4" spans="1:32" ht="26" customHeight="1" x14ac:dyDescent="0.2">
      <c r="A4" s="121" t="s">
        <v>320</v>
      </c>
      <c r="B4" s="116">
        <v>0.69399999999999995</v>
      </c>
      <c r="C4" s="116">
        <v>11.166</v>
      </c>
      <c r="D4" s="116"/>
      <c r="E4" s="116">
        <v>21</v>
      </c>
      <c r="F4" s="116">
        <v>2693</v>
      </c>
      <c r="G4" s="127">
        <v>7.4099999999999999E-2</v>
      </c>
      <c r="H4" s="123">
        <f t="shared" si="0"/>
        <v>0</v>
      </c>
      <c r="I4" s="123">
        <f t="shared" si="1"/>
        <v>3.1149033333333329</v>
      </c>
      <c r="J4" s="126">
        <v>3000</v>
      </c>
      <c r="K4" s="126">
        <v>750</v>
      </c>
      <c r="L4" s="123">
        <f t="shared" ref="L4:L23" si="11">J4/K4</f>
        <v>4</v>
      </c>
      <c r="M4" s="117">
        <v>10000</v>
      </c>
      <c r="N4" s="116">
        <v>12</v>
      </c>
      <c r="O4" s="116">
        <v>21</v>
      </c>
      <c r="P4" s="116" t="s">
        <v>31</v>
      </c>
      <c r="Q4" s="116">
        <v>0.46400000000000002</v>
      </c>
      <c r="R4" s="116">
        <v>0.11078</v>
      </c>
      <c r="S4" s="116">
        <v>0.21726999999999999</v>
      </c>
      <c r="T4" s="122">
        <f t="shared" si="2"/>
        <v>1.8807092960773777</v>
      </c>
      <c r="U4" s="117">
        <f t="shared" si="3"/>
        <v>2.5936599423631127E-5</v>
      </c>
      <c r="V4" s="117">
        <f t="shared" si="4"/>
        <v>23133333.333333332</v>
      </c>
      <c r="W4" s="124">
        <f t="shared" si="5"/>
        <v>4.7994787187476415</v>
      </c>
      <c r="X4" s="124">
        <f t="shared" si="6"/>
        <v>0.42587374497687464</v>
      </c>
      <c r="Y4" s="124">
        <f t="shared" si="10"/>
        <v>14.753633867522801</v>
      </c>
      <c r="Z4" s="124">
        <f t="shared" ref="Z4:Z29" si="12">Y4/(2*L4)</f>
        <v>1.8442042334403501</v>
      </c>
      <c r="AA4" s="124">
        <f t="shared" si="7"/>
        <v>0.62627484660190413</v>
      </c>
      <c r="AB4" s="123">
        <f t="shared" si="8"/>
        <v>6.9156753872444403</v>
      </c>
      <c r="AC4" s="124">
        <f t="shared" si="9"/>
        <v>0.26671401430717062</v>
      </c>
      <c r="AD4" s="124" t="s">
        <v>300</v>
      </c>
      <c r="AE4" s="117">
        <f t="shared" ref="AE4:AE19" si="13">SQRT((0.11*0.000018*B4)^2+(G4*R4)^2)</f>
        <v>8.2087981150110994E-3</v>
      </c>
    </row>
    <row r="5" spans="1:32" ht="26" customHeight="1" x14ac:dyDescent="0.2">
      <c r="A5" s="121" t="s">
        <v>322</v>
      </c>
      <c r="B5" s="116">
        <v>0.50700000000000001</v>
      </c>
      <c r="C5" s="116">
        <v>14.835000000000001</v>
      </c>
      <c r="D5" s="116"/>
      <c r="E5" s="116">
        <v>21</v>
      </c>
      <c r="F5" s="116">
        <v>2755</v>
      </c>
      <c r="G5" s="127">
        <v>1E-8</v>
      </c>
      <c r="H5" s="123">
        <f t="shared" si="0"/>
        <v>0</v>
      </c>
      <c r="I5" s="123">
        <f t="shared" si="1"/>
        <v>2.3279750000000003</v>
      </c>
      <c r="J5" s="126">
        <v>3000</v>
      </c>
      <c r="K5" s="126">
        <v>200</v>
      </c>
      <c r="L5" s="123">
        <f t="shared" si="11"/>
        <v>15</v>
      </c>
      <c r="M5" s="117">
        <v>10000</v>
      </c>
      <c r="N5" s="116">
        <v>12</v>
      </c>
      <c r="O5" s="116">
        <v>21</v>
      </c>
      <c r="P5" s="116" t="s">
        <v>31</v>
      </c>
      <c r="Q5" s="116">
        <v>0.46400000000000002</v>
      </c>
      <c r="R5" s="116">
        <v>0.24621000000000001</v>
      </c>
      <c r="S5" s="116">
        <v>0.24667</v>
      </c>
      <c r="T5" s="122">
        <f t="shared" si="2"/>
        <v>1.4155712841253791</v>
      </c>
      <c r="U5" s="117">
        <f t="shared" si="3"/>
        <v>3.5502958579881656E-5</v>
      </c>
      <c r="V5" s="117">
        <f t="shared" si="4"/>
        <v>16900000</v>
      </c>
      <c r="W5" s="124">
        <f t="shared" si="5"/>
        <v>4.7994787187476415</v>
      </c>
      <c r="X5" s="124">
        <f t="shared" si="6"/>
        <v>0.42587374497687464</v>
      </c>
      <c r="Y5" s="124">
        <f t="shared" si="10"/>
        <v>14.753633867522801</v>
      </c>
      <c r="Z5" s="124">
        <f t="shared" si="12"/>
        <v>0.49178779558409336</v>
      </c>
      <c r="AA5" s="124">
        <f t="shared" si="7"/>
        <v>0.62627484660190413</v>
      </c>
      <c r="AB5" s="123">
        <f t="shared" si="8"/>
        <v>9.4664274531511658</v>
      </c>
      <c r="AC5" s="124">
        <f t="shared" si="9"/>
        <v>0.26671401430717062</v>
      </c>
      <c r="AD5" s="124" t="s">
        <v>300</v>
      </c>
      <c r="AE5" s="117">
        <f t="shared" si="13"/>
        <v>1.0038630193091137E-6</v>
      </c>
    </row>
    <row r="6" spans="1:32" s="116" customFormat="1" ht="26" customHeight="1" x14ac:dyDescent="0.2">
      <c r="A6" s="121" t="s">
        <v>337</v>
      </c>
      <c r="B6" s="116">
        <v>0.81499999999999995</v>
      </c>
      <c r="C6" s="116">
        <v>14.157999999999999</v>
      </c>
      <c r="E6" s="116">
        <v>21</v>
      </c>
      <c r="G6" s="127">
        <v>3.5180000000000003E-2</v>
      </c>
      <c r="H6" s="123">
        <f t="shared" si="0"/>
        <v>0</v>
      </c>
      <c r="I6" s="123">
        <f t="shared" si="1"/>
        <v>0</v>
      </c>
      <c r="J6" s="126">
        <v>3000</v>
      </c>
      <c r="K6" s="126">
        <v>384</v>
      </c>
      <c r="L6" s="123">
        <f t="shared" si="11"/>
        <v>7.8125</v>
      </c>
      <c r="M6" s="117">
        <v>10000</v>
      </c>
      <c r="N6" s="116">
        <v>12</v>
      </c>
      <c r="O6" s="116">
        <v>21</v>
      </c>
      <c r="P6" s="116" t="s">
        <v>217</v>
      </c>
      <c r="Q6" s="116">
        <v>0.46400000000000002</v>
      </c>
      <c r="R6" s="116">
        <v>0.21278</v>
      </c>
      <c r="S6" s="116">
        <v>0.24637000000000001</v>
      </c>
      <c r="T6" s="122">
        <f t="shared" si="2"/>
        <v>1.4832603475067101</v>
      </c>
      <c r="U6" s="117">
        <f t="shared" si="3"/>
        <v>2.2085889570552148E-5</v>
      </c>
      <c r="V6" s="117">
        <f t="shared" si="4"/>
        <v>27166666.666666664</v>
      </c>
      <c r="W6" s="124">
        <f t="shared" si="5"/>
        <v>4.7994787187476415</v>
      </c>
      <c r="X6" s="124">
        <f t="shared" si="6"/>
        <v>0.42587374497687464</v>
      </c>
      <c r="Y6" s="124">
        <f t="shared" si="10"/>
        <v>14.753633867522801</v>
      </c>
      <c r="Z6" s="124">
        <f t="shared" si="12"/>
        <v>0.94423256752145923</v>
      </c>
      <c r="AA6" s="124">
        <f t="shared" si="7"/>
        <v>0.62627484660190413</v>
      </c>
      <c r="AB6" s="123">
        <f t="shared" si="8"/>
        <v>5.8889309432486403</v>
      </c>
      <c r="AC6" s="124">
        <f>X6*AA6</f>
        <v>0.26671401430717062</v>
      </c>
      <c r="AD6" s="124" t="s">
        <v>300</v>
      </c>
      <c r="AE6" s="117">
        <f t="shared" si="13"/>
        <v>7.4856005739357915E-3</v>
      </c>
      <c r="AF6" s="116" t="s">
        <v>328</v>
      </c>
    </row>
    <row r="7" spans="1:32" s="116" customFormat="1" ht="26" customHeight="1" x14ac:dyDescent="0.2">
      <c r="A7" s="121" t="s">
        <v>338</v>
      </c>
      <c r="E7" s="116">
        <v>21</v>
      </c>
      <c r="G7" s="127">
        <v>3.5180000000000003E-2</v>
      </c>
      <c r="H7" s="123" t="e">
        <f t="shared" si="0"/>
        <v>#DIV/0!</v>
      </c>
      <c r="I7" s="123">
        <f t="shared" si="1"/>
        <v>0</v>
      </c>
      <c r="J7" s="126">
        <v>3000</v>
      </c>
      <c r="K7" s="126">
        <v>384</v>
      </c>
      <c r="L7" s="123">
        <f t="shared" si="11"/>
        <v>7.8125</v>
      </c>
      <c r="M7" s="117">
        <v>10000</v>
      </c>
      <c r="N7" s="116">
        <v>12</v>
      </c>
      <c r="O7" s="116">
        <v>21</v>
      </c>
      <c r="P7" s="116" t="s">
        <v>217</v>
      </c>
      <c r="Q7" s="116">
        <v>0.46400000000000002</v>
      </c>
      <c r="R7" s="116">
        <v>0.11078</v>
      </c>
      <c r="S7" s="116">
        <v>0.21726999999999999</v>
      </c>
      <c r="T7" s="122" t="e">
        <f t="shared" si="2"/>
        <v>#DIV/0!</v>
      </c>
      <c r="U7" s="117" t="e">
        <f t="shared" si="3"/>
        <v>#DIV/0!</v>
      </c>
      <c r="V7" s="117" t="e">
        <f t="shared" si="4"/>
        <v>#DIV/0!</v>
      </c>
      <c r="W7" s="124">
        <f t="shared" si="5"/>
        <v>4.7994787187476415</v>
      </c>
      <c r="X7" s="124">
        <f t="shared" si="6"/>
        <v>0.42587374497687464</v>
      </c>
      <c r="Y7" s="124">
        <f>2*PI()/X7</f>
        <v>14.753633867522801</v>
      </c>
      <c r="Z7" s="124">
        <f t="shared" si="12"/>
        <v>0.94423256752145923</v>
      </c>
      <c r="AA7" s="124">
        <f t="shared" si="7"/>
        <v>0.62627484660190413</v>
      </c>
      <c r="AB7" s="123" t="e">
        <f t="shared" si="8"/>
        <v>#DIV/0!</v>
      </c>
      <c r="AC7" s="124">
        <f>X7*AA7</f>
        <v>0.26671401430717062</v>
      </c>
      <c r="AD7" s="124" t="s">
        <v>300</v>
      </c>
      <c r="AE7" s="117">
        <f>SQRT((0.11*0.000018*B7)^2+(G7*R7)^2)</f>
        <v>3.8972404000000003E-3</v>
      </c>
      <c r="AF7" s="116" t="s">
        <v>328</v>
      </c>
    </row>
    <row r="8" spans="1:32" s="116" customFormat="1" ht="26" customHeight="1" x14ac:dyDescent="0.2">
      <c r="A8" s="121" t="s">
        <v>339</v>
      </c>
      <c r="B8" s="116">
        <v>0.85899999999999999</v>
      </c>
      <c r="C8" s="116">
        <v>12.99</v>
      </c>
      <c r="E8" s="116">
        <v>21</v>
      </c>
      <c r="G8" s="127">
        <v>3.5180000000000003E-2</v>
      </c>
      <c r="H8" s="123">
        <f t="shared" si="0"/>
        <v>0</v>
      </c>
      <c r="I8" s="123">
        <f t="shared" si="1"/>
        <v>0</v>
      </c>
      <c r="J8" s="126">
        <v>3000</v>
      </c>
      <c r="K8" s="126">
        <v>384</v>
      </c>
      <c r="L8" s="123">
        <f t="shared" si="11"/>
        <v>7.8125</v>
      </c>
      <c r="M8" s="117">
        <v>10000</v>
      </c>
      <c r="N8" s="116">
        <v>12</v>
      </c>
      <c r="O8" s="116">
        <v>21</v>
      </c>
      <c r="P8" s="116" t="s">
        <v>217</v>
      </c>
      <c r="Q8" s="116">
        <v>0.46400000000000002</v>
      </c>
      <c r="R8" s="116">
        <v>0.24621000000000001</v>
      </c>
      <c r="S8" s="116">
        <v>0.24667</v>
      </c>
      <c r="T8" s="122">
        <f t="shared" si="2"/>
        <v>1.6166281755196306</v>
      </c>
      <c r="U8" s="117">
        <f t="shared" si="3"/>
        <v>2.0954598370197907E-5</v>
      </c>
      <c r="V8" s="117">
        <f t="shared" si="4"/>
        <v>28633333.333333332</v>
      </c>
      <c r="W8" s="124">
        <f t="shared" si="5"/>
        <v>4.7994787187476415</v>
      </c>
      <c r="X8" s="124">
        <f t="shared" si="6"/>
        <v>0.42587374497687464</v>
      </c>
      <c r="Y8" s="124">
        <f>2*PI()/X8</f>
        <v>14.753633867522801</v>
      </c>
      <c r="Z8" s="124">
        <f t="shared" si="12"/>
        <v>0.94423256752145923</v>
      </c>
      <c r="AA8" s="124">
        <f t="shared" si="7"/>
        <v>0.62627484660190413</v>
      </c>
      <c r="AB8" s="123">
        <f t="shared" si="8"/>
        <v>5.5872860520927139</v>
      </c>
      <c r="AC8" s="124">
        <f>X8*AA8</f>
        <v>0.26671401430717062</v>
      </c>
      <c r="AD8" s="124" t="s">
        <v>300</v>
      </c>
      <c r="AE8" s="117">
        <f>SQRT((0.11*0.000018*B8)^2+(G8*R8)^2)</f>
        <v>8.661667966987972E-3</v>
      </c>
      <c r="AF8" s="116" t="s">
        <v>328</v>
      </c>
    </row>
    <row r="9" spans="1:32" s="116" customFormat="1" ht="26" customHeight="1" x14ac:dyDescent="0.2">
      <c r="A9" s="121" t="s">
        <v>293</v>
      </c>
      <c r="B9" s="116">
        <v>0.61599999999999999</v>
      </c>
      <c r="C9" s="116">
        <v>12.478</v>
      </c>
      <c r="E9" s="116">
        <v>21</v>
      </c>
      <c r="F9" s="116">
        <v>3012</v>
      </c>
      <c r="G9" s="127">
        <v>9.8180000000000003E-3</v>
      </c>
      <c r="H9" s="123">
        <f t="shared" si="0"/>
        <v>0</v>
      </c>
      <c r="I9" s="123">
        <f t="shared" si="1"/>
        <v>3.09232</v>
      </c>
      <c r="J9" s="126">
        <v>3000</v>
      </c>
      <c r="K9" s="126">
        <v>384</v>
      </c>
      <c r="L9" s="123">
        <f t="shared" si="11"/>
        <v>7.8125</v>
      </c>
      <c r="M9" s="117">
        <v>10000</v>
      </c>
      <c r="N9" s="116">
        <v>12</v>
      </c>
      <c r="O9" s="116">
        <v>21</v>
      </c>
      <c r="P9" s="116" t="s">
        <v>31</v>
      </c>
      <c r="Q9" s="116">
        <v>0.46400000000000002</v>
      </c>
      <c r="R9" s="116">
        <v>0.22245999999999999</v>
      </c>
      <c r="S9" s="116">
        <v>0.24328</v>
      </c>
      <c r="T9" s="122">
        <f t="shared" si="2"/>
        <v>1.682962013143132</v>
      </c>
      <c r="U9" s="117">
        <f t="shared" si="3"/>
        <v>2.9220779220779221E-5</v>
      </c>
      <c r="V9" s="117">
        <f t="shared" si="4"/>
        <v>20533333.333333332</v>
      </c>
      <c r="W9" s="124">
        <f t="shared" si="5"/>
        <v>4.7994787187476415</v>
      </c>
      <c r="X9" s="124">
        <v>0.42599999999999999</v>
      </c>
      <c r="Y9" s="124">
        <f t="shared" si="10"/>
        <v>14.749261284459124</v>
      </c>
      <c r="Z9" s="124">
        <f t="shared" si="12"/>
        <v>0.94395272220538395</v>
      </c>
      <c r="AA9" s="124">
        <v>0.69799999999999995</v>
      </c>
      <c r="AB9" s="123">
        <f t="shared" si="8"/>
        <v>7.7913615564085088</v>
      </c>
      <c r="AC9" s="124">
        <f t="shared" si="9"/>
        <v>0.29734799999999995</v>
      </c>
      <c r="AD9" s="124" t="s">
        <v>301</v>
      </c>
      <c r="AE9" s="117">
        <f t="shared" si="13"/>
        <v>2.18411262055465E-3</v>
      </c>
      <c r="AF9" s="116" t="s">
        <v>329</v>
      </c>
    </row>
    <row r="10" spans="1:32" s="116" customFormat="1" ht="26" customHeight="1" x14ac:dyDescent="0.2">
      <c r="A10" s="121" t="s">
        <v>321</v>
      </c>
      <c r="B10" s="116">
        <v>0.67500000000000004</v>
      </c>
      <c r="C10" s="116">
        <v>11.323</v>
      </c>
      <c r="E10" s="116">
        <v>21</v>
      </c>
      <c r="F10" s="116">
        <v>3028</v>
      </c>
      <c r="G10" s="127">
        <v>5.3440000000000001E-2</v>
      </c>
      <c r="H10" s="123">
        <f t="shared" si="0"/>
        <v>0</v>
      </c>
      <c r="I10" s="123">
        <f t="shared" si="1"/>
        <v>3.4065000000000003</v>
      </c>
      <c r="J10" s="126">
        <v>3000</v>
      </c>
      <c r="K10" s="126">
        <v>750</v>
      </c>
      <c r="L10" s="123">
        <f t="shared" si="11"/>
        <v>4</v>
      </c>
      <c r="M10" s="117">
        <v>10000</v>
      </c>
      <c r="N10" s="116">
        <v>12</v>
      </c>
      <c r="O10" s="116">
        <v>21</v>
      </c>
      <c r="P10" s="116" t="s">
        <v>31</v>
      </c>
      <c r="Q10" s="116">
        <v>0.46400000000000002</v>
      </c>
      <c r="R10" s="116">
        <v>0.16173999999999999</v>
      </c>
      <c r="S10" s="116">
        <v>0.22417000000000001</v>
      </c>
      <c r="T10" s="122">
        <f t="shared" si="2"/>
        <v>1.8546321646206836</v>
      </c>
      <c r="U10" s="117">
        <f t="shared" si="3"/>
        <v>2.6666666666666667E-5</v>
      </c>
      <c r="V10" s="117">
        <f t="shared" si="4"/>
        <v>22500000</v>
      </c>
      <c r="W10" s="124">
        <f t="shared" si="5"/>
        <v>4.7994787187476415</v>
      </c>
      <c r="X10" s="124">
        <f>22^2 * (9.81 / N10^2 / M10^2) ^ (1/3)</f>
        <v>0.42587374497687464</v>
      </c>
      <c r="Y10" s="124">
        <f t="shared" si="10"/>
        <v>14.753633867522801</v>
      </c>
      <c r="Z10" s="124">
        <f t="shared" si="12"/>
        <v>1.8442042334403501</v>
      </c>
      <c r="AA10" s="124">
        <v>0.69799999999999995</v>
      </c>
      <c r="AB10" s="123">
        <f t="shared" si="8"/>
        <v>7.1103388425890985</v>
      </c>
      <c r="AC10" s="124">
        <f t="shared" si="9"/>
        <v>0.2972598739938585</v>
      </c>
      <c r="AD10" s="124" t="s">
        <v>300</v>
      </c>
      <c r="AE10" s="117">
        <f t="shared" si="13"/>
        <v>8.6433857033294311E-3</v>
      </c>
    </row>
    <row r="11" spans="1:32" s="116" customFormat="1" ht="26" customHeight="1" x14ac:dyDescent="0.2">
      <c r="A11" s="121" t="s">
        <v>327</v>
      </c>
      <c r="B11" s="116">
        <v>0.50800000000000001</v>
      </c>
      <c r="C11" s="116">
        <v>14.888</v>
      </c>
      <c r="E11" s="116">
        <v>21</v>
      </c>
      <c r="F11" s="116">
        <v>2850</v>
      </c>
      <c r="G11" s="127">
        <v>1E-8</v>
      </c>
      <c r="H11" s="123">
        <f t="shared" si="0"/>
        <v>0</v>
      </c>
      <c r="I11" s="123">
        <f t="shared" si="1"/>
        <v>2.4129999999999998</v>
      </c>
      <c r="J11" s="126">
        <v>3000</v>
      </c>
      <c r="K11" s="126">
        <v>200</v>
      </c>
      <c r="L11" s="123">
        <f t="shared" si="11"/>
        <v>15</v>
      </c>
      <c r="M11" s="117">
        <v>10000</v>
      </c>
      <c r="N11" s="116">
        <v>12</v>
      </c>
      <c r="O11" s="116">
        <v>21</v>
      </c>
      <c r="P11" s="116" t="s">
        <v>31</v>
      </c>
      <c r="Q11" s="116">
        <v>0.46400000000000002</v>
      </c>
      <c r="R11" s="116">
        <v>0.24315000000000001</v>
      </c>
      <c r="S11" s="116">
        <v>0.24351</v>
      </c>
      <c r="T11" s="122">
        <f t="shared" si="2"/>
        <v>1.4105319720580334</v>
      </c>
      <c r="U11" s="117">
        <f t="shared" si="3"/>
        <v>3.5433070866141735E-5</v>
      </c>
      <c r="V11" s="117">
        <f t="shared" si="4"/>
        <v>16933333.333333332</v>
      </c>
      <c r="W11" s="124">
        <f t="shared" si="5"/>
        <v>4.7994787187476415</v>
      </c>
      <c r="X11" s="124">
        <f>22^2 * (9.81 / N11^2 / M11^2) ^ (1/3)</f>
        <v>0.42587374497687464</v>
      </c>
      <c r="Y11" s="124">
        <f t="shared" si="10"/>
        <v>14.753633867522801</v>
      </c>
      <c r="Z11" s="124">
        <f t="shared" si="12"/>
        <v>0.49178779558409336</v>
      </c>
      <c r="AA11" s="124">
        <v>0.69799999999999995</v>
      </c>
      <c r="AB11" s="123">
        <f t="shared" si="8"/>
        <v>9.4477927534402397</v>
      </c>
      <c r="AC11" s="124">
        <f t="shared" si="9"/>
        <v>0.2972598739938585</v>
      </c>
      <c r="AD11" s="124" t="s">
        <v>300</v>
      </c>
      <c r="AE11" s="117">
        <f t="shared" si="13"/>
        <v>1.0058429389284642E-6</v>
      </c>
    </row>
    <row r="12" spans="1:32" s="116" customFormat="1" ht="26" customHeight="1" x14ac:dyDescent="0.2">
      <c r="A12" s="121" t="s">
        <v>340</v>
      </c>
      <c r="B12" s="116">
        <v>0.501</v>
      </c>
      <c r="C12" s="116">
        <v>14.324</v>
      </c>
      <c r="E12" s="116">
        <v>21</v>
      </c>
      <c r="F12" s="116">
        <v>3348</v>
      </c>
      <c r="G12" s="127"/>
      <c r="H12" s="123">
        <f t="shared" si="0"/>
        <v>0</v>
      </c>
      <c r="I12" s="123">
        <f t="shared" si="1"/>
        <v>2.7955799999999997</v>
      </c>
      <c r="J12" s="126">
        <v>3000</v>
      </c>
      <c r="K12" s="126">
        <v>384</v>
      </c>
      <c r="L12" s="123">
        <f t="shared" si="11"/>
        <v>7.8125</v>
      </c>
      <c r="M12" s="117"/>
      <c r="P12" s="116" t="s">
        <v>217</v>
      </c>
      <c r="Q12" s="116">
        <v>0.46400000000000002</v>
      </c>
      <c r="T12" s="122">
        <f t="shared" si="2"/>
        <v>1.4660709299078469</v>
      </c>
      <c r="U12" s="117">
        <f t="shared" si="3"/>
        <v>3.5928143712574853E-5</v>
      </c>
      <c r="V12" s="117">
        <f t="shared" si="4"/>
        <v>16699999.999999998</v>
      </c>
      <c r="W12" s="124">
        <v>4.7990000000000004</v>
      </c>
      <c r="X12" s="124">
        <v>0.42599999999999999</v>
      </c>
      <c r="Y12" s="124">
        <f t="shared" si="10"/>
        <v>14.749261284459124</v>
      </c>
      <c r="Z12" s="124">
        <f t="shared" si="12"/>
        <v>0.94395272220538395</v>
      </c>
      <c r="AA12" s="124">
        <v>0.626</v>
      </c>
      <c r="AB12" s="123">
        <f t="shared" si="8"/>
        <v>9.578842315369263</v>
      </c>
      <c r="AC12" s="124">
        <f t="shared" si="9"/>
        <v>0.26667599999999997</v>
      </c>
      <c r="AD12" s="124" t="s">
        <v>342</v>
      </c>
      <c r="AE12" s="117"/>
    </row>
    <row r="13" spans="1:32" s="116" customFormat="1" ht="26" customHeight="1" x14ac:dyDescent="0.2">
      <c r="A13" s="121" t="s">
        <v>295</v>
      </c>
      <c r="B13" s="116">
        <v>0.68600000000000005</v>
      </c>
      <c r="C13" s="116">
        <v>11.475</v>
      </c>
      <c r="E13" s="116">
        <v>21</v>
      </c>
      <c r="F13" s="116">
        <v>2901</v>
      </c>
      <c r="G13" s="127">
        <v>2.7380000000000002E-2</v>
      </c>
      <c r="H13" s="123">
        <f t="shared" si="0"/>
        <v>0</v>
      </c>
      <c r="I13" s="123">
        <f t="shared" si="1"/>
        <v>3.3168100000000003</v>
      </c>
      <c r="J13" s="126">
        <v>3000</v>
      </c>
      <c r="K13" s="126">
        <v>384</v>
      </c>
      <c r="L13" s="123">
        <f t="shared" si="11"/>
        <v>7.8125</v>
      </c>
      <c r="M13" s="117">
        <v>50000</v>
      </c>
      <c r="N13" s="116">
        <v>12</v>
      </c>
      <c r="O13" s="116">
        <v>21</v>
      </c>
      <c r="P13" s="116" t="s">
        <v>31</v>
      </c>
      <c r="Q13" s="116">
        <v>0.46400000000000002</v>
      </c>
      <c r="R13" s="116">
        <v>0.19</v>
      </c>
      <c r="S13" s="116">
        <v>0.3427</v>
      </c>
      <c r="T13" s="122">
        <f t="shared" si="2"/>
        <v>1.8300653594771243</v>
      </c>
      <c r="U13" s="117">
        <f t="shared" si="3"/>
        <v>2.6239067055393584E-5</v>
      </c>
      <c r="V13" s="117">
        <f t="shared" si="4"/>
        <v>22866666.666666668</v>
      </c>
      <c r="W13" s="124">
        <f>1/22*(9.81*N13*M13)^(1/3)</f>
        <v>8.2069931656451622</v>
      </c>
      <c r="X13" s="124">
        <f>22^2 * (9.81 / N13^2 / M13^2) ^ (1/3)</f>
        <v>0.14564677204631618</v>
      </c>
      <c r="Y13" s="124">
        <f t="shared" si="10"/>
        <v>43.139887131734795</v>
      </c>
      <c r="Z13" s="124">
        <f t="shared" si="12"/>
        <v>2.7609527764310271</v>
      </c>
      <c r="AA13" s="124">
        <f>4*SQRT(0.000000167 * N13^2 * M13 / 9.81)</f>
        <v>1.4003931296001109</v>
      </c>
      <c r="AB13" s="123">
        <f t="shared" si="8"/>
        <v>11.963546888695571</v>
      </c>
      <c r="AC13" s="124">
        <f t="shared" si="9"/>
        <v>0.20396273892209466</v>
      </c>
      <c r="AD13" s="124" t="s">
        <v>300</v>
      </c>
      <c r="AE13" s="117">
        <f t="shared" si="13"/>
        <v>5.2022001773215695E-3</v>
      </c>
    </row>
    <row r="14" spans="1:32" ht="26" customHeight="1" x14ac:dyDescent="0.2">
      <c r="A14" s="121" t="s">
        <v>325</v>
      </c>
      <c r="B14" s="116">
        <v>0.64400000000000002</v>
      </c>
      <c r="C14" s="116">
        <v>12.249000000000001</v>
      </c>
      <c r="D14" s="116"/>
      <c r="E14" s="116">
        <v>21</v>
      </c>
      <c r="F14" s="116">
        <v>2911</v>
      </c>
      <c r="G14" s="127">
        <v>1E-8</v>
      </c>
      <c r="H14" s="123">
        <f t="shared" ref="H14:H20" si="14">D14/B14</f>
        <v>0</v>
      </c>
      <c r="I14" s="123">
        <f t="shared" ref="I14:I20" si="15">F14*B14/600</f>
        <v>3.1244733333333334</v>
      </c>
      <c r="J14" s="126">
        <v>3000</v>
      </c>
      <c r="K14" s="126">
        <v>750</v>
      </c>
      <c r="L14" s="123">
        <f t="shared" si="11"/>
        <v>4</v>
      </c>
      <c r="M14" s="117">
        <v>50000</v>
      </c>
      <c r="N14" s="116">
        <v>12</v>
      </c>
      <c r="O14" s="116">
        <v>21</v>
      </c>
      <c r="P14" s="116" t="s">
        <v>31</v>
      </c>
      <c r="Q14" s="116">
        <v>0.46400000000000002</v>
      </c>
      <c r="R14" s="116">
        <v>0.10036</v>
      </c>
      <c r="S14" s="116">
        <v>0.19447999999999999</v>
      </c>
      <c r="T14" s="122">
        <f t="shared" ref="T14:T19" si="16">E14/C14</f>
        <v>1.7144256674014204</v>
      </c>
      <c r="U14" s="117">
        <f t="shared" ref="U14:U19" si="17">0.000018/B14</f>
        <v>2.795031055900621E-5</v>
      </c>
      <c r="V14" s="117">
        <f t="shared" ref="V14:V19" si="18">600/U14</f>
        <v>21466666.666666668</v>
      </c>
      <c r="W14" s="124">
        <f>1/22*(9.81*N14*M14)^(1/3)</f>
        <v>8.2069931656451622</v>
      </c>
      <c r="X14" s="124">
        <f>22^2 * (9.81 / N14^2 / M14^2) ^ (1/3)</f>
        <v>0.14564677204631618</v>
      </c>
      <c r="Y14" s="124">
        <f t="shared" si="10"/>
        <v>43.139887131734795</v>
      </c>
      <c r="Z14" s="124">
        <f t="shared" si="12"/>
        <v>5.3924858914668494</v>
      </c>
      <c r="AA14" s="124">
        <f>4*SQRT(0.000000167 * N14^2 * M14 / 9.81)</f>
        <v>1.4003931296001109</v>
      </c>
      <c r="AB14" s="123">
        <f t="shared" ref="AB14:AB19" si="19">W14/B14</f>
        <v>12.743778207523544</v>
      </c>
      <c r="AC14" s="124">
        <f t="shared" si="9"/>
        <v>0.20396273892209466</v>
      </c>
      <c r="AD14" s="124" t="s">
        <v>300</v>
      </c>
      <c r="AE14" s="117">
        <f t="shared" si="13"/>
        <v>1.2751203949482417E-6</v>
      </c>
    </row>
    <row r="15" spans="1:32" ht="26" customHeight="1" x14ac:dyDescent="0.2">
      <c r="A15" s="121" t="s">
        <v>326</v>
      </c>
      <c r="B15" s="116">
        <v>0.64300000000000002</v>
      </c>
      <c r="C15" s="116">
        <v>12.678000000000001</v>
      </c>
      <c r="D15" s="116"/>
      <c r="E15" s="116">
        <v>21</v>
      </c>
      <c r="F15" s="116">
        <v>2494</v>
      </c>
      <c r="G15" s="127">
        <v>5.6020000000000002E-3</v>
      </c>
      <c r="H15" s="123">
        <f t="shared" si="14"/>
        <v>0</v>
      </c>
      <c r="I15" s="123">
        <f t="shared" si="15"/>
        <v>2.6727366666666668</v>
      </c>
      <c r="J15" s="126">
        <v>3000</v>
      </c>
      <c r="K15" s="126">
        <v>200</v>
      </c>
      <c r="L15" s="123">
        <f t="shared" si="11"/>
        <v>15</v>
      </c>
      <c r="N15" s="116">
        <v>12</v>
      </c>
      <c r="O15" s="116">
        <v>21</v>
      </c>
      <c r="P15" s="116" t="s">
        <v>31</v>
      </c>
      <c r="Q15" s="116">
        <v>0.46400000000000002</v>
      </c>
      <c r="R15" s="116">
        <v>0.33095999999999998</v>
      </c>
      <c r="S15" s="116">
        <v>0.58575999999999995</v>
      </c>
      <c r="T15" s="122">
        <f t="shared" si="16"/>
        <v>1.6564126833885471</v>
      </c>
      <c r="U15" s="117">
        <f t="shared" si="17"/>
        <v>2.7993779160186624E-5</v>
      </c>
      <c r="V15" s="117">
        <f t="shared" si="18"/>
        <v>21433333.333333332</v>
      </c>
      <c r="W15" s="124">
        <f>1/22*(9.81*N15*M14)^(1/3)</f>
        <v>8.2069931656451622</v>
      </c>
      <c r="X15" s="124">
        <f>22^2 * (9.81 / N15^2 / M14^2) ^ (1/3)</f>
        <v>0.14564677204631618</v>
      </c>
      <c r="Y15" s="124">
        <f t="shared" si="10"/>
        <v>43.139887131734795</v>
      </c>
      <c r="Z15" s="124">
        <f t="shared" si="12"/>
        <v>1.4379962377244933</v>
      </c>
      <c r="AA15" s="124">
        <f>4*SQRT(0.000000167 * N15^2 * M14 / 9.81)</f>
        <v>1.4003931296001109</v>
      </c>
      <c r="AB15" s="123">
        <f t="shared" si="19"/>
        <v>12.763597458235088</v>
      </c>
      <c r="AC15" s="124">
        <f t="shared" si="9"/>
        <v>0.20396273892209466</v>
      </c>
      <c r="AD15" s="124" t="s">
        <v>300</v>
      </c>
      <c r="AE15" s="117">
        <f t="shared" si="13"/>
        <v>1.8540383571230088E-3</v>
      </c>
    </row>
    <row r="16" spans="1:32" s="116" customFormat="1" ht="26" customHeight="1" x14ac:dyDescent="0.2">
      <c r="A16" s="121" t="s">
        <v>298</v>
      </c>
      <c r="B16" s="116">
        <v>0.65100000000000002</v>
      </c>
      <c r="C16" s="116">
        <v>11.93</v>
      </c>
      <c r="E16" s="116">
        <v>21</v>
      </c>
      <c r="F16" s="116">
        <v>2769</v>
      </c>
      <c r="G16" s="127">
        <v>1.0919999999999999E-2</v>
      </c>
      <c r="H16" s="123">
        <f t="shared" si="14"/>
        <v>0</v>
      </c>
      <c r="I16" s="123">
        <f t="shared" si="15"/>
        <v>3.0043650000000004</v>
      </c>
      <c r="J16" s="126">
        <v>3000</v>
      </c>
      <c r="K16" s="126">
        <v>384</v>
      </c>
      <c r="L16" s="123">
        <f t="shared" si="11"/>
        <v>7.8125</v>
      </c>
      <c r="M16" s="117">
        <v>50000</v>
      </c>
      <c r="N16" s="116">
        <v>12</v>
      </c>
      <c r="O16" s="116">
        <v>21</v>
      </c>
      <c r="P16" s="116" t="s">
        <v>31</v>
      </c>
      <c r="Q16" s="116">
        <v>0.46400000000000002</v>
      </c>
      <c r="R16" s="116">
        <v>0.30917</v>
      </c>
      <c r="S16" s="116">
        <v>0.47208</v>
      </c>
      <c r="T16" s="122">
        <f t="shared" si="16"/>
        <v>1.760268231349539</v>
      </c>
      <c r="U16" s="117">
        <f t="shared" si="17"/>
        <v>2.7649769585253457E-5</v>
      </c>
      <c r="V16" s="117">
        <f t="shared" si="18"/>
        <v>21700000</v>
      </c>
      <c r="W16" s="124">
        <f>1/22*(9.81*N16*M16)^(1/3)</f>
        <v>8.2069931656451622</v>
      </c>
      <c r="X16" s="124">
        <f>22^2 * (9.81 / N16^2 / M16^2) ^ (1/3)</f>
        <v>0.14564677204631618</v>
      </c>
      <c r="Y16" s="124">
        <f t="shared" si="10"/>
        <v>43.139887131734795</v>
      </c>
      <c r="Z16" s="124">
        <f t="shared" si="12"/>
        <v>2.7609527764310271</v>
      </c>
      <c r="AA16" s="124">
        <v>1.7090000000000001</v>
      </c>
      <c r="AB16" s="123">
        <f t="shared" si="19"/>
        <v>12.606748334324365</v>
      </c>
      <c r="AC16" s="124">
        <f t="shared" si="9"/>
        <v>0.24891033342715435</v>
      </c>
      <c r="AD16" s="124" t="s">
        <v>301</v>
      </c>
      <c r="AE16" s="117">
        <f t="shared" si="13"/>
        <v>3.3761366460607605E-3</v>
      </c>
      <c r="AF16" s="116" t="s">
        <v>330</v>
      </c>
    </row>
    <row r="17" spans="1:32" s="116" customFormat="1" ht="26" customHeight="1" x14ac:dyDescent="0.2">
      <c r="A17" s="121" t="s">
        <v>310</v>
      </c>
      <c r="E17" s="116">
        <v>21</v>
      </c>
      <c r="G17" s="127"/>
      <c r="H17" s="123" t="e">
        <f t="shared" si="14"/>
        <v>#DIV/0!</v>
      </c>
      <c r="I17" s="123">
        <f t="shared" si="15"/>
        <v>0</v>
      </c>
      <c r="J17" s="126">
        <v>3000</v>
      </c>
      <c r="K17" s="126">
        <v>384</v>
      </c>
      <c r="L17" s="123">
        <f t="shared" si="11"/>
        <v>7.8125</v>
      </c>
      <c r="M17" s="117">
        <v>50000</v>
      </c>
      <c r="N17" s="116">
        <v>12</v>
      </c>
      <c r="O17" s="116">
        <v>21</v>
      </c>
      <c r="Q17" s="116">
        <v>0.46400000000000002</v>
      </c>
      <c r="T17" s="122" t="e">
        <f t="shared" si="16"/>
        <v>#DIV/0!</v>
      </c>
      <c r="U17" s="117" t="e">
        <f t="shared" si="17"/>
        <v>#DIV/0!</v>
      </c>
      <c r="V17" s="117" t="e">
        <f t="shared" si="18"/>
        <v>#DIV/0!</v>
      </c>
      <c r="W17" s="124">
        <f>1/22*(9.81*N17*M17)^(1/3)</f>
        <v>8.2069931656451622</v>
      </c>
      <c r="X17" s="124">
        <f>22^2 * (9.81 / N17^2 / M17^2) ^ (1/3)</f>
        <v>0.14564677204631618</v>
      </c>
      <c r="Y17" s="124">
        <f t="shared" si="10"/>
        <v>43.139887131734795</v>
      </c>
      <c r="Z17" s="124">
        <f t="shared" si="12"/>
        <v>2.7609527764310271</v>
      </c>
      <c r="AA17" s="124">
        <v>1.7090000000000001</v>
      </c>
      <c r="AB17" s="123" t="e">
        <f t="shared" si="19"/>
        <v>#DIV/0!</v>
      </c>
      <c r="AC17" s="124">
        <f t="shared" si="9"/>
        <v>0.24891033342715435</v>
      </c>
      <c r="AD17" s="124" t="s">
        <v>301</v>
      </c>
      <c r="AE17" s="117">
        <f t="shared" si="13"/>
        <v>0</v>
      </c>
      <c r="AF17" s="116" t="s">
        <v>311</v>
      </c>
    </row>
    <row r="18" spans="1:32" ht="26" customHeight="1" x14ac:dyDescent="0.2">
      <c r="A18" s="121" t="s">
        <v>323</v>
      </c>
      <c r="B18" s="116">
        <v>0.72399999999999998</v>
      </c>
      <c r="C18" s="116">
        <v>10.91</v>
      </c>
      <c r="D18" s="116"/>
      <c r="E18" s="116">
        <v>21</v>
      </c>
      <c r="F18" s="116">
        <v>2545</v>
      </c>
      <c r="G18" s="127">
        <v>7.8880000000000006E-2</v>
      </c>
      <c r="H18" s="123">
        <f t="shared" si="14"/>
        <v>0</v>
      </c>
      <c r="I18" s="123">
        <f t="shared" si="15"/>
        <v>3.0709666666666666</v>
      </c>
      <c r="J18" s="126">
        <v>3000</v>
      </c>
      <c r="K18" s="126">
        <v>750</v>
      </c>
      <c r="L18" s="123">
        <f t="shared" si="11"/>
        <v>4</v>
      </c>
      <c r="M18" s="117">
        <v>50000</v>
      </c>
      <c r="N18" s="116">
        <v>12</v>
      </c>
      <c r="O18" s="116">
        <v>21</v>
      </c>
      <c r="P18" s="116" t="s">
        <v>31</v>
      </c>
      <c r="Q18" s="116">
        <v>0.46400000000000002</v>
      </c>
      <c r="R18" s="116">
        <v>0.19209000000000001</v>
      </c>
      <c r="S18" s="116">
        <v>0.31455</v>
      </c>
      <c r="T18" s="122">
        <f t="shared" si="16"/>
        <v>1.9248395967002749</v>
      </c>
      <c r="U18" s="117">
        <f t="shared" si="17"/>
        <v>2.4861878453038675E-5</v>
      </c>
      <c r="V18" s="117">
        <f t="shared" si="18"/>
        <v>24133333.333333332</v>
      </c>
      <c r="W18" s="124">
        <f>1/22*(9.81*N18*M18)^(1/3)</f>
        <v>8.2069931656451622</v>
      </c>
      <c r="X18" s="124">
        <f>22^2 * (9.81 / N18^2 / M18^2) ^ (1/3)</f>
        <v>0.14564677204631618</v>
      </c>
      <c r="Y18" s="124">
        <f t="shared" si="10"/>
        <v>43.139887131734795</v>
      </c>
      <c r="Z18" s="124">
        <f t="shared" si="12"/>
        <v>5.3924858914668494</v>
      </c>
      <c r="AA18" s="124">
        <v>1.7090000000000001</v>
      </c>
      <c r="AB18" s="123">
        <f t="shared" si="19"/>
        <v>11.335625919399396</v>
      </c>
      <c r="AC18" s="124">
        <f t="shared" si="9"/>
        <v>0.24891033342715435</v>
      </c>
      <c r="AD18" s="124" t="s">
        <v>301</v>
      </c>
      <c r="AE18" s="117">
        <f t="shared" si="13"/>
        <v>1.5152059267811893E-2</v>
      </c>
    </row>
    <row r="19" spans="1:32" ht="26" customHeight="1" x14ac:dyDescent="0.2">
      <c r="A19" s="121" t="s">
        <v>324</v>
      </c>
      <c r="B19" s="116">
        <v>0.58099999999999996</v>
      </c>
      <c r="C19" s="116">
        <v>13.775</v>
      </c>
      <c r="D19" s="116"/>
      <c r="E19" s="116">
        <v>21</v>
      </c>
      <c r="F19" s="116">
        <v>2674</v>
      </c>
      <c r="G19" s="127">
        <v>9.8949999999999993E-4</v>
      </c>
      <c r="H19" s="123">
        <f t="shared" si="14"/>
        <v>0</v>
      </c>
      <c r="I19" s="123">
        <f t="shared" si="15"/>
        <v>2.5893233333333332</v>
      </c>
      <c r="J19" s="126">
        <v>3000</v>
      </c>
      <c r="K19" s="126">
        <v>200</v>
      </c>
      <c r="L19" s="123">
        <f t="shared" si="11"/>
        <v>15</v>
      </c>
      <c r="M19" s="117">
        <v>50000</v>
      </c>
      <c r="N19" s="116">
        <v>12</v>
      </c>
      <c r="O19" s="116">
        <v>21</v>
      </c>
      <c r="P19" s="116" t="s">
        <v>31</v>
      </c>
      <c r="Q19" s="116">
        <v>0.46400000000000002</v>
      </c>
      <c r="R19" s="116">
        <v>0.46266000000000002</v>
      </c>
      <c r="S19" s="116">
        <v>0.58784999999999998</v>
      </c>
      <c r="T19" s="122">
        <f t="shared" si="16"/>
        <v>1.5245009074410163</v>
      </c>
      <c r="U19" s="117">
        <f t="shared" si="17"/>
        <v>3.0981067125645442E-5</v>
      </c>
      <c r="V19" s="117">
        <f t="shared" si="18"/>
        <v>19366666.666666664</v>
      </c>
      <c r="W19" s="124">
        <f>1/22*(9.81*N19*M19)^(1/3)</f>
        <v>8.2069931656451622</v>
      </c>
      <c r="X19" s="124">
        <f>22^2 * (9.81 / N19^2 / M19^2) ^ (1/3)</f>
        <v>0.14564677204631618</v>
      </c>
      <c r="Y19" s="124">
        <f t="shared" si="10"/>
        <v>43.139887131734795</v>
      </c>
      <c r="Z19" s="124">
        <f t="shared" si="12"/>
        <v>1.4379962377244933</v>
      </c>
      <c r="AA19" s="124">
        <v>1.7090000000000001</v>
      </c>
      <c r="AB19" s="123">
        <f t="shared" si="19"/>
        <v>14.12563367580923</v>
      </c>
      <c r="AC19" s="124">
        <f t="shared" si="9"/>
        <v>0.24891033342715435</v>
      </c>
      <c r="AD19" s="124" t="s">
        <v>301</v>
      </c>
      <c r="AE19" s="117">
        <f t="shared" si="13"/>
        <v>4.5780351535394448E-4</v>
      </c>
    </row>
    <row r="20" spans="1:32" ht="26" customHeight="1" x14ac:dyDescent="0.2">
      <c r="A20" s="121" t="s">
        <v>341</v>
      </c>
      <c r="B20" s="116">
        <v>0.59799999999999998</v>
      </c>
      <c r="C20" s="116">
        <v>12.744999999999999</v>
      </c>
      <c r="D20" s="116"/>
      <c r="E20" s="116"/>
      <c r="F20" s="116">
        <v>2860</v>
      </c>
      <c r="G20" s="127"/>
      <c r="H20" s="123">
        <f t="shared" si="14"/>
        <v>0</v>
      </c>
      <c r="I20" s="123">
        <f t="shared" si="15"/>
        <v>2.8504666666666667</v>
      </c>
      <c r="J20" s="126">
        <v>3000</v>
      </c>
      <c r="K20" s="126">
        <v>384</v>
      </c>
      <c r="L20" s="123">
        <f t="shared" si="11"/>
        <v>7.8125</v>
      </c>
      <c r="M20" s="117"/>
      <c r="N20" s="116"/>
      <c r="O20" s="116"/>
      <c r="P20" s="116" t="s">
        <v>217</v>
      </c>
      <c r="Q20" s="116">
        <v>0.46400000000000002</v>
      </c>
      <c r="R20" s="116"/>
      <c r="S20" s="116"/>
      <c r="T20" s="122">
        <f>E20/C20</f>
        <v>0</v>
      </c>
      <c r="U20" s="117">
        <f>0.000018/B20</f>
        <v>3.0100334448160538E-5</v>
      </c>
      <c r="V20" s="117">
        <f>600/U20</f>
        <v>19933333.333333332</v>
      </c>
      <c r="W20" s="124">
        <v>8.2070000000000007</v>
      </c>
      <c r="X20" s="124">
        <v>0.14599999999999999</v>
      </c>
      <c r="Y20" s="124">
        <f t="shared" si="10"/>
        <v>43.03551580259991</v>
      </c>
      <c r="Z20" s="124">
        <f t="shared" si="12"/>
        <v>2.7542730113663945</v>
      </c>
      <c r="AA20" s="124">
        <v>1.4</v>
      </c>
      <c r="AB20" s="123">
        <f>W20/B20</f>
        <v>13.724080267558531</v>
      </c>
      <c r="AC20" s="124">
        <f>X20*AA20</f>
        <v>0.20439999999999997</v>
      </c>
      <c r="AD20" s="124" t="s">
        <v>342</v>
      </c>
      <c r="AE20" s="117"/>
    </row>
    <row r="21" spans="1:32" s="116" customFormat="1" ht="26" customHeight="1" x14ac:dyDescent="0.2">
      <c r="A21" s="121" t="s">
        <v>294</v>
      </c>
      <c r="E21" s="116">
        <v>21</v>
      </c>
      <c r="G21" s="127"/>
      <c r="H21" s="123" t="e">
        <f>D21/B21</f>
        <v>#DIV/0!</v>
      </c>
      <c r="I21" s="123">
        <f>F21*B21/600</f>
        <v>0</v>
      </c>
      <c r="J21" s="126">
        <v>3000</v>
      </c>
      <c r="K21" s="126">
        <v>384</v>
      </c>
      <c r="L21" s="123">
        <f t="shared" si="11"/>
        <v>7.8125</v>
      </c>
      <c r="M21" s="117">
        <v>100000</v>
      </c>
      <c r="N21" s="116">
        <v>12</v>
      </c>
      <c r="O21" s="116">
        <v>21</v>
      </c>
      <c r="Q21" s="116">
        <v>0.46400000000000002</v>
      </c>
      <c r="T21" s="122" t="e">
        <f>E21/C21</f>
        <v>#DIV/0!</v>
      </c>
      <c r="U21" s="117" t="e">
        <f>0.000018/B21</f>
        <v>#DIV/0!</v>
      </c>
      <c r="V21" s="117" t="e">
        <f>600/U21</f>
        <v>#DIV/0!</v>
      </c>
      <c r="W21" s="124">
        <f>1/22*(9.81*N21*M21)^(1/3)</f>
        <v>10.340163445739709</v>
      </c>
      <c r="X21" s="124">
        <f>22^2 * (9.81 / N21^2 / M21^2) ^ (1/3)</f>
        <v>9.1751716975197017E-2</v>
      </c>
      <c r="Y21" s="124">
        <f t="shared" si="10"/>
        <v>68.480302214705176</v>
      </c>
      <c r="Z21" s="124">
        <f t="shared" si="12"/>
        <v>4.3827393417411313</v>
      </c>
      <c r="AA21" s="124">
        <f>4*SQRT(0.000000167 * N21^2 * M21 / 9.81)</f>
        <v>1.9804549565345801</v>
      </c>
      <c r="AB21" s="123" t="e">
        <f>W21/B21</f>
        <v>#DIV/0!</v>
      </c>
      <c r="AC21" s="124">
        <f t="shared" si="9"/>
        <v>0.18171014265408691</v>
      </c>
      <c r="AD21" s="124" t="s">
        <v>300</v>
      </c>
      <c r="AE21" s="124"/>
    </row>
    <row r="22" spans="1:32" ht="26" customHeight="1" x14ac:dyDescent="0.2">
      <c r="A22" s="121" t="s">
        <v>275</v>
      </c>
      <c r="B22" s="116"/>
      <c r="C22" s="116"/>
      <c r="D22" s="116"/>
      <c r="E22" s="116">
        <v>21</v>
      </c>
      <c r="F22" s="116"/>
      <c r="G22" s="127"/>
      <c r="H22" s="123" t="e">
        <f t="shared" ref="H22:H29" si="20">D22/B22</f>
        <v>#DIV/0!</v>
      </c>
      <c r="I22" s="123">
        <f>F22*B22/600</f>
        <v>0</v>
      </c>
      <c r="J22" s="126">
        <v>3000</v>
      </c>
      <c r="K22" s="126">
        <v>384</v>
      </c>
      <c r="L22" s="123">
        <f t="shared" si="11"/>
        <v>7.8125</v>
      </c>
      <c r="M22" s="117">
        <v>50000</v>
      </c>
      <c r="N22" s="116">
        <v>12</v>
      </c>
      <c r="O22" s="116">
        <v>21</v>
      </c>
      <c r="P22" s="116"/>
      <c r="Q22" s="116">
        <v>0.46400000000000002</v>
      </c>
      <c r="R22" s="116"/>
      <c r="S22" s="116"/>
      <c r="T22" s="122" t="e">
        <f t="shared" ref="T22:T29" si="21">E22/C22</f>
        <v>#DIV/0!</v>
      </c>
      <c r="U22" s="117" t="e">
        <f t="shared" ref="U22:U29" si="22">0.000018/B22</f>
        <v>#DIV/0!</v>
      </c>
      <c r="V22" s="117" t="e">
        <f>600/U22</f>
        <v>#DIV/0!</v>
      </c>
      <c r="W22" s="124">
        <f>1/22*(9.81*N22*M22)^(1/3)</f>
        <v>8.2069931656451622</v>
      </c>
      <c r="X22" s="124">
        <f>22^2 * (9.81 / N22^2 / M22^2) ^ (1/3)</f>
        <v>0.14564677204631618</v>
      </c>
      <c r="Y22" s="124">
        <f t="shared" si="10"/>
        <v>43.139887131734795</v>
      </c>
      <c r="Z22" s="124">
        <f t="shared" si="12"/>
        <v>2.7609527764310271</v>
      </c>
      <c r="AA22" s="124">
        <f>4*SQRT(0.000000167 * N22^2 * M22 / 9.81)</f>
        <v>1.4003931296001109</v>
      </c>
      <c r="AB22" s="123" t="e">
        <f t="shared" ref="AB22:AB29" si="23">W22/B22</f>
        <v>#DIV/0!</v>
      </c>
      <c r="AC22" s="124">
        <f t="shared" si="9"/>
        <v>0.20396273892209466</v>
      </c>
      <c r="AD22" s="124" t="s">
        <v>300</v>
      </c>
      <c r="AE22" s="124"/>
      <c r="AF22" t="s">
        <v>280</v>
      </c>
    </row>
    <row r="23" spans="1:32" ht="26" customHeight="1" x14ac:dyDescent="0.2">
      <c r="A23" s="121" t="s">
        <v>277</v>
      </c>
      <c r="B23" s="116"/>
      <c r="C23" s="116"/>
      <c r="D23" s="116"/>
      <c r="E23" s="116">
        <v>21</v>
      </c>
      <c r="F23" s="116"/>
      <c r="G23" s="127"/>
      <c r="H23" s="123" t="e">
        <f t="shared" si="20"/>
        <v>#DIV/0!</v>
      </c>
      <c r="I23" s="123">
        <f>F23*B23/600</f>
        <v>0</v>
      </c>
      <c r="J23" s="126">
        <v>3000</v>
      </c>
      <c r="K23" s="126">
        <v>384</v>
      </c>
      <c r="L23" s="123">
        <f t="shared" si="11"/>
        <v>7.8125</v>
      </c>
      <c r="M23" s="117">
        <v>100000</v>
      </c>
      <c r="N23" s="116">
        <v>12</v>
      </c>
      <c r="O23" s="116">
        <v>21</v>
      </c>
      <c r="P23" s="116"/>
      <c r="Q23" s="116">
        <v>0.46400000000000002</v>
      </c>
      <c r="R23" s="116"/>
      <c r="S23" s="116"/>
      <c r="T23" s="122" t="e">
        <f t="shared" si="21"/>
        <v>#DIV/0!</v>
      </c>
      <c r="U23" s="117" t="e">
        <f t="shared" si="22"/>
        <v>#DIV/0!</v>
      </c>
      <c r="V23" s="117" t="e">
        <f t="shared" ref="V23:V29" si="24">600/U23</f>
        <v>#DIV/0!</v>
      </c>
      <c r="W23" s="124">
        <f>1/22*(9.81*N23*M23)^(1/3)</f>
        <v>10.340163445739709</v>
      </c>
      <c r="X23" s="124">
        <f>22^2 * (9.81 / N23^2 / M23^2) ^ (1/3)</f>
        <v>9.1751716975197017E-2</v>
      </c>
      <c r="Y23" s="124">
        <f t="shared" si="10"/>
        <v>68.480302214705176</v>
      </c>
      <c r="Z23" s="124">
        <f t="shared" si="12"/>
        <v>4.3827393417411313</v>
      </c>
      <c r="AA23" s="124">
        <f>4*SQRT(0.000000167 * N23^2 * M23 / 9.81)</f>
        <v>1.9804549565345801</v>
      </c>
      <c r="AB23" s="123" t="e">
        <f t="shared" si="23"/>
        <v>#DIV/0!</v>
      </c>
      <c r="AC23" s="124">
        <f t="shared" si="9"/>
        <v>0.18171014265408691</v>
      </c>
      <c r="AD23" s="124" t="s">
        <v>300</v>
      </c>
      <c r="AE23" s="124"/>
      <c r="AF23" t="s">
        <v>281</v>
      </c>
    </row>
    <row r="24" spans="1:32" ht="26" hidden="1" customHeight="1" x14ac:dyDescent="0.2">
      <c r="A24" s="121" t="s">
        <v>318</v>
      </c>
      <c r="B24" s="116">
        <v>0.70799999999999996</v>
      </c>
      <c r="C24" s="116"/>
      <c r="D24" s="116"/>
      <c r="E24" s="116">
        <v>21</v>
      </c>
      <c r="F24" s="116">
        <v>2465</v>
      </c>
      <c r="G24" s="127">
        <v>0.16489999999999999</v>
      </c>
      <c r="H24" s="123">
        <f t="shared" si="20"/>
        <v>0</v>
      </c>
      <c r="I24" s="123">
        <f t="shared" ref="I24:I29" si="25">F24*B24/600</f>
        <v>2.9086999999999996</v>
      </c>
      <c r="J24" s="123"/>
      <c r="K24" s="126">
        <v>750</v>
      </c>
      <c r="L24" s="126"/>
      <c r="M24" s="117">
        <v>50000</v>
      </c>
      <c r="N24" s="116">
        <v>12</v>
      </c>
      <c r="O24" s="116">
        <v>21</v>
      </c>
      <c r="P24" s="116"/>
      <c r="Q24" s="116">
        <v>0.46400000000000002</v>
      </c>
      <c r="R24" s="116">
        <v>5.9180000000000003E-2</v>
      </c>
      <c r="S24" s="116">
        <v>0.11078</v>
      </c>
      <c r="T24" s="122" t="e">
        <f t="shared" si="21"/>
        <v>#DIV/0!</v>
      </c>
      <c r="U24" s="117">
        <f t="shared" si="22"/>
        <v>2.5423728813559325E-5</v>
      </c>
      <c r="V24" s="117">
        <f t="shared" si="24"/>
        <v>23599999.999999996</v>
      </c>
      <c r="W24" s="124" t="e">
        <f>1/22*(9.81*N24*#REF!)^(1/3)</f>
        <v>#REF!</v>
      </c>
      <c r="X24" s="124" t="e">
        <f>22^2 * (9.81 / N24^2 /#REF!^ 2) ^ (1/3)</f>
        <v>#REF!</v>
      </c>
      <c r="Y24" s="124"/>
      <c r="Z24" s="124" t="e">
        <f t="shared" si="12"/>
        <v>#DIV/0!</v>
      </c>
      <c r="AA24" s="124" t="e">
        <f>4*SQRT(0.000000167 * N24^2 *#REF! / 9.81)</f>
        <v>#REF!</v>
      </c>
      <c r="AB24" s="123" t="e">
        <f t="shared" si="23"/>
        <v>#REF!</v>
      </c>
      <c r="AC24" s="124" t="e">
        <f t="shared" si="9"/>
        <v>#REF!</v>
      </c>
      <c r="AD24" s="124" t="s">
        <v>300</v>
      </c>
      <c r="AE24" s="124"/>
      <c r="AF24" t="s">
        <v>305</v>
      </c>
    </row>
    <row r="25" spans="1:32" ht="26" hidden="1" customHeight="1" x14ac:dyDescent="0.2">
      <c r="A25" s="121" t="s">
        <v>319</v>
      </c>
      <c r="B25" s="116">
        <v>0.72799999999999998</v>
      </c>
      <c r="C25" s="116"/>
      <c r="D25" s="116"/>
      <c r="E25" s="116">
        <v>21</v>
      </c>
      <c r="F25" s="116">
        <v>2205</v>
      </c>
      <c r="G25" s="127">
        <v>6.9769999999999999E-2</v>
      </c>
      <c r="H25" s="123">
        <f t="shared" si="20"/>
        <v>0</v>
      </c>
      <c r="I25" s="123">
        <f t="shared" si="25"/>
        <v>2.6754000000000002</v>
      </c>
      <c r="J25" s="123"/>
      <c r="K25" s="126">
        <v>200</v>
      </c>
      <c r="L25" s="126"/>
      <c r="N25" s="116">
        <v>12</v>
      </c>
      <c r="O25" s="116">
        <v>21</v>
      </c>
      <c r="P25" s="116"/>
      <c r="Q25" s="116">
        <v>0.46400000000000002</v>
      </c>
      <c r="R25" s="116">
        <v>0.20446</v>
      </c>
      <c r="S25" s="116">
        <v>0.24621000000000001</v>
      </c>
      <c r="T25" s="122" t="e">
        <f t="shared" si="21"/>
        <v>#DIV/0!</v>
      </c>
      <c r="U25" s="117">
        <f t="shared" si="22"/>
        <v>2.4725274725274727E-5</v>
      </c>
      <c r="V25" s="117">
        <f t="shared" si="24"/>
        <v>24266666.666666664</v>
      </c>
      <c r="W25" s="124">
        <f>1/22*(9.81*N25*M24)^(1/3)</f>
        <v>8.2069931656451622</v>
      </c>
      <c r="X25" s="124">
        <f>22^2 * (9.81 / N25^2 / M24^2) ^ (1/3)</f>
        <v>0.14564677204631618</v>
      </c>
      <c r="Y25" s="124"/>
      <c r="Z25" s="124" t="e">
        <f t="shared" si="12"/>
        <v>#DIV/0!</v>
      </c>
      <c r="AA25" s="124">
        <f>4*SQRT(0.000000167 * N25^2 * M24 / 9.81)</f>
        <v>1.4003931296001109</v>
      </c>
      <c r="AB25" s="123">
        <f t="shared" si="23"/>
        <v>11.273342260501597</v>
      </c>
      <c r="AC25" s="124">
        <f t="shared" si="9"/>
        <v>0.20396273892209466</v>
      </c>
      <c r="AD25" s="124" t="s">
        <v>300</v>
      </c>
      <c r="AE25" s="124"/>
      <c r="AF25" t="s">
        <v>304</v>
      </c>
    </row>
    <row r="26" spans="1:32" ht="26" hidden="1" customHeight="1" x14ac:dyDescent="0.2">
      <c r="A26" s="121" t="s">
        <v>316</v>
      </c>
      <c r="B26" s="116">
        <v>0.68899999999999995</v>
      </c>
      <c r="C26" s="116"/>
      <c r="D26" s="116"/>
      <c r="E26" s="116">
        <v>21</v>
      </c>
      <c r="F26" s="116">
        <v>2511</v>
      </c>
      <c r="G26" s="127">
        <v>1E-8</v>
      </c>
      <c r="H26" s="123">
        <f t="shared" si="20"/>
        <v>0</v>
      </c>
      <c r="I26" s="123">
        <f t="shared" si="25"/>
        <v>2.8834649999999997</v>
      </c>
      <c r="J26" s="123"/>
      <c r="K26" s="126">
        <v>750</v>
      </c>
      <c r="L26" s="126"/>
      <c r="M26" s="117">
        <v>50000</v>
      </c>
      <c r="N26" s="116">
        <v>12</v>
      </c>
      <c r="O26" s="116">
        <v>21</v>
      </c>
      <c r="P26" s="116" t="s">
        <v>31</v>
      </c>
      <c r="Q26" s="116">
        <v>0.46400000000000002</v>
      </c>
      <c r="R26" s="116">
        <v>9.4219999999999998E-2</v>
      </c>
      <c r="S26" s="116">
        <v>0.15742999999999999</v>
      </c>
      <c r="T26" s="122" t="e">
        <f t="shared" si="21"/>
        <v>#DIV/0!</v>
      </c>
      <c r="U26" s="117">
        <f t="shared" si="22"/>
        <v>2.6124818577648769E-5</v>
      </c>
      <c r="V26" s="117">
        <f t="shared" si="24"/>
        <v>22966666.666666664</v>
      </c>
      <c r="W26" s="124">
        <f>1/22*(9.81*N26*M26)^(1/3)</f>
        <v>8.2069931656451622</v>
      </c>
      <c r="X26" s="124">
        <f>22^2 * (9.81 / N26^2 / M26^2) ^ (1/3)</f>
        <v>0.14564677204631618</v>
      </c>
      <c r="Y26" s="124"/>
      <c r="Z26" s="124" t="e">
        <f t="shared" si="12"/>
        <v>#DIV/0!</v>
      </c>
      <c r="AA26" s="124">
        <f>4*SQRT(0.000000167 * N26^2 * M26 / 9.81)</f>
        <v>1.4003931296001109</v>
      </c>
      <c r="AB26" s="123">
        <f t="shared" si="23"/>
        <v>11.911455973360178</v>
      </c>
      <c r="AC26" s="124">
        <f t="shared" si="9"/>
        <v>0.20396273892209466</v>
      </c>
      <c r="AD26" s="124" t="s">
        <v>301</v>
      </c>
      <c r="AE26" s="124"/>
      <c r="AF26" t="s">
        <v>305</v>
      </c>
    </row>
    <row r="27" spans="1:32" ht="26" hidden="1" customHeight="1" x14ac:dyDescent="0.2">
      <c r="A27" s="121" t="s">
        <v>317</v>
      </c>
      <c r="B27" s="116">
        <v>0.60399999999999998</v>
      </c>
      <c r="C27" s="116"/>
      <c r="D27" s="116"/>
      <c r="E27" s="116">
        <v>21</v>
      </c>
      <c r="F27" s="116">
        <v>2501</v>
      </c>
      <c r="G27" s="127">
        <v>2.8050000000000002E-3</v>
      </c>
      <c r="H27" s="123">
        <f t="shared" si="20"/>
        <v>0</v>
      </c>
      <c r="I27" s="123">
        <f t="shared" si="25"/>
        <v>2.5176733333333332</v>
      </c>
      <c r="J27" s="123"/>
      <c r="K27" s="126">
        <v>200</v>
      </c>
      <c r="L27" s="126"/>
      <c r="M27" s="117">
        <v>50000</v>
      </c>
      <c r="N27" s="116">
        <v>12</v>
      </c>
      <c r="O27" s="116">
        <v>21</v>
      </c>
      <c r="P27" s="116" t="s">
        <v>31</v>
      </c>
      <c r="Q27" s="116">
        <v>0.46400000000000002</v>
      </c>
      <c r="R27" s="116">
        <v>0.24661</v>
      </c>
      <c r="S27" s="116">
        <v>0.37903999999999999</v>
      </c>
      <c r="T27" s="122" t="e">
        <f t="shared" si="21"/>
        <v>#DIV/0!</v>
      </c>
      <c r="U27" s="117">
        <f t="shared" si="22"/>
        <v>2.9801324503311261E-5</v>
      </c>
      <c r="V27" s="117">
        <f t="shared" si="24"/>
        <v>20133333.333333332</v>
      </c>
      <c r="W27" s="124">
        <f>1/22*(9.81*N27*M27)^(1/3)</f>
        <v>8.2069931656451622</v>
      </c>
      <c r="X27" s="124">
        <f>22^2 * (9.81 / N27^2 / M27^2) ^ (1/3)</f>
        <v>0.14564677204631618</v>
      </c>
      <c r="Y27" s="124"/>
      <c r="Z27" s="124" t="e">
        <f t="shared" si="12"/>
        <v>#DIV/0!</v>
      </c>
      <c r="AA27" s="124">
        <f>4*SQRT(0.000000167 * N27^2 * M27 / 9.81)</f>
        <v>1.4003931296001109</v>
      </c>
      <c r="AB27" s="123">
        <f t="shared" si="23"/>
        <v>13.587737029213844</v>
      </c>
      <c r="AC27" s="124">
        <f t="shared" si="9"/>
        <v>0.20396273892209466</v>
      </c>
      <c r="AD27" s="124" t="s">
        <v>301</v>
      </c>
      <c r="AE27" s="124"/>
      <c r="AF27" t="s">
        <v>304</v>
      </c>
    </row>
    <row r="28" spans="1:32" ht="26" hidden="1" customHeight="1" x14ac:dyDescent="0.2">
      <c r="A28" s="121" t="s">
        <v>312</v>
      </c>
      <c r="B28" s="116">
        <v>0.73399999999999999</v>
      </c>
      <c r="C28" s="116">
        <v>10.981</v>
      </c>
      <c r="D28" s="116">
        <v>19.003</v>
      </c>
      <c r="E28" s="116">
        <v>21</v>
      </c>
      <c r="F28" s="116">
        <v>2709</v>
      </c>
      <c r="G28" s="127">
        <v>3.023E-2</v>
      </c>
      <c r="H28" s="123">
        <f t="shared" si="20"/>
        <v>25.889645776566759</v>
      </c>
      <c r="I28" s="123">
        <f t="shared" si="25"/>
        <v>3.3140100000000001</v>
      </c>
      <c r="J28" s="123"/>
      <c r="K28" s="126">
        <v>750</v>
      </c>
      <c r="L28" s="126"/>
      <c r="M28" s="117">
        <v>50000</v>
      </c>
      <c r="N28" s="116">
        <v>12</v>
      </c>
      <c r="O28" s="116">
        <v>21</v>
      </c>
      <c r="P28" s="116" t="s">
        <v>31</v>
      </c>
      <c r="Q28" s="116">
        <v>0.46400000000000002</v>
      </c>
      <c r="R28" s="116">
        <v>9.4219999999999998E-2</v>
      </c>
      <c r="S28" s="116">
        <v>0.15742999999999999</v>
      </c>
      <c r="T28" s="122">
        <f t="shared" si="21"/>
        <v>1.9123941353246516</v>
      </c>
      <c r="U28" s="117">
        <f t="shared" si="22"/>
        <v>2.4523160762942779E-5</v>
      </c>
      <c r="V28" s="117">
        <f t="shared" si="24"/>
        <v>24466666.666666668</v>
      </c>
      <c r="W28" s="124">
        <f>1/22*(9.81*N28*M28)^(1/3)</f>
        <v>8.2069931656451622</v>
      </c>
      <c r="X28" s="124">
        <f>22^2 * (9.81 / N28^2 / M28^2) ^ (1/3)</f>
        <v>0.14564677204631618</v>
      </c>
      <c r="Y28" s="124"/>
      <c r="Z28" s="124" t="e">
        <f t="shared" si="12"/>
        <v>#DIV/0!</v>
      </c>
      <c r="AA28" s="124">
        <f>4*SQRT(0.000000167 * N28^2 * M28 / 9.81)</f>
        <v>1.4003931296001109</v>
      </c>
      <c r="AB28" s="123">
        <f t="shared" si="23"/>
        <v>11.181189598971612</v>
      </c>
      <c r="AC28" s="124">
        <f t="shared" si="9"/>
        <v>0.20396273892209466</v>
      </c>
      <c r="AD28" s="124" t="s">
        <v>301</v>
      </c>
      <c r="AE28" s="124"/>
    </row>
    <row r="29" spans="1:32" ht="26" hidden="1" customHeight="1" x14ac:dyDescent="0.2">
      <c r="A29" s="121" t="s">
        <v>313</v>
      </c>
      <c r="B29" s="116">
        <v>0.57199999999999995</v>
      </c>
      <c r="C29" s="116">
        <v>14.127000000000001</v>
      </c>
      <c r="D29" s="116">
        <v>19.670999999999999</v>
      </c>
      <c r="E29" s="116">
        <v>21</v>
      </c>
      <c r="F29" s="116">
        <v>2524</v>
      </c>
      <c r="G29" s="127">
        <v>4.1980000000000001E-4</v>
      </c>
      <c r="H29" s="123">
        <f t="shared" si="20"/>
        <v>34.38986013986014</v>
      </c>
      <c r="I29" s="123">
        <f t="shared" si="25"/>
        <v>2.4062133333333331</v>
      </c>
      <c r="J29" s="123"/>
      <c r="K29" s="126">
        <v>200</v>
      </c>
      <c r="L29" s="126"/>
      <c r="M29" s="117">
        <v>50000</v>
      </c>
      <c r="N29" s="116">
        <v>12</v>
      </c>
      <c r="O29" s="116">
        <v>21</v>
      </c>
      <c r="P29" s="116" t="s">
        <v>31</v>
      </c>
      <c r="Q29" s="116">
        <v>0.46400000000000002</v>
      </c>
      <c r="R29" s="116">
        <v>0.24661</v>
      </c>
      <c r="S29" s="116">
        <v>0.37903999999999999</v>
      </c>
      <c r="T29" s="122">
        <f t="shared" si="21"/>
        <v>1.4865151836908048</v>
      </c>
      <c r="U29" s="117">
        <f t="shared" si="22"/>
        <v>3.1468531468531474E-5</v>
      </c>
      <c r="V29" s="117">
        <f t="shared" si="24"/>
        <v>19066666.666666664</v>
      </c>
      <c r="W29" s="124">
        <f>1/22*(9.81*N29*M29)^(1/3)</f>
        <v>8.2069931656451622</v>
      </c>
      <c r="X29" s="124">
        <f>22^2 * (9.81 / N29^2 / M29^2) ^ (1/3)</f>
        <v>0.14564677204631618</v>
      </c>
      <c r="Y29" s="124"/>
      <c r="Z29" s="124" t="e">
        <f t="shared" si="12"/>
        <v>#DIV/0!</v>
      </c>
      <c r="AA29" s="124">
        <f>4*SQRT(0.000000167 * N29^2 * M29 / 9.81)</f>
        <v>1.4003931296001109</v>
      </c>
      <c r="AB29" s="123">
        <f t="shared" si="23"/>
        <v>14.347890149729306</v>
      </c>
      <c r="AC29" s="124">
        <f t="shared" si="9"/>
        <v>0.20396273892209466</v>
      </c>
      <c r="AD29" s="124" t="s">
        <v>301</v>
      </c>
      <c r="AE29" s="124"/>
    </row>
  </sheetData>
  <conditionalFormatting sqref="P2:P29">
    <cfRule type="containsText" dxfId="30" priority="1" stopIfTrue="1" operator="containsText" text="bad">
      <formula>NOT(ISERROR(SEARCH("bad",P2)))</formula>
    </cfRule>
    <cfRule type="containsText" dxfId="29" priority="2" stopIfTrue="1" operator="containsText" text="error">
      <formula>NOT(ISERROR(SEARCH("error",P2)))</formula>
    </cfRule>
    <cfRule type="containsText" dxfId="28" priority="3" stopIfTrue="1" operator="containsText" text="running">
      <formula>NOT(ISERROR(SEARCH("running",P2)))</formula>
    </cfRule>
    <cfRule type="containsText" dxfId="27" priority="4" operator="containsText" text="done">
      <formula>NOT(ISERROR(SEARCH("done",P2)))</formula>
    </cfRule>
  </conditionalFormatting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1A5D-A7F2-3149-8F8E-B79704D64532}">
  <dimension ref="A1:Y22"/>
  <sheetViews>
    <sheetView topLeftCell="R1" workbookViewId="0">
      <selection activeCell="Y15" sqref="Y15"/>
    </sheetView>
  </sheetViews>
  <sheetFormatPr baseColWidth="10" defaultRowHeight="16" x14ac:dyDescent="0.2"/>
  <cols>
    <col min="1" max="1" width="22.1640625" customWidth="1"/>
    <col min="2" max="2" width="11.83203125" customWidth="1"/>
    <col min="3" max="3" width="16.1640625" customWidth="1"/>
  </cols>
  <sheetData>
    <row r="1" spans="1:25" s="118" customFormat="1" ht="26" customHeight="1" thickBot="1" x14ac:dyDescent="0.25">
      <c r="A1" s="120" t="s">
        <v>226</v>
      </c>
      <c r="B1" s="118" t="s">
        <v>334</v>
      </c>
      <c r="C1" s="118" t="s">
        <v>268</v>
      </c>
      <c r="D1" s="118" t="s">
        <v>287</v>
      </c>
      <c r="E1" s="118" t="s">
        <v>274</v>
      </c>
      <c r="F1" s="118" t="s">
        <v>288</v>
      </c>
      <c r="G1" s="118" t="s">
        <v>289</v>
      </c>
      <c r="H1" s="119" t="s">
        <v>45</v>
      </c>
      <c r="I1" s="119" t="s">
        <v>227</v>
      </c>
      <c r="J1" s="119" t="s">
        <v>290</v>
      </c>
      <c r="K1" s="119" t="s">
        <v>291</v>
      </c>
      <c r="L1" s="118" t="s">
        <v>240</v>
      </c>
      <c r="M1" s="118" t="s">
        <v>292</v>
      </c>
      <c r="N1" s="118" t="s">
        <v>242</v>
      </c>
      <c r="O1" s="118" t="s">
        <v>243</v>
      </c>
      <c r="P1" s="118" t="s">
        <v>252</v>
      </c>
      <c r="Q1" s="118" t="s">
        <v>254</v>
      </c>
      <c r="R1" s="118" t="s">
        <v>253</v>
      </c>
      <c r="S1" s="118" t="s">
        <v>195</v>
      </c>
      <c r="T1" s="118" t="s">
        <v>191</v>
      </c>
      <c r="U1" s="118" t="s">
        <v>192</v>
      </c>
      <c r="V1" s="118" t="s">
        <v>204</v>
      </c>
      <c r="W1" s="118" t="s">
        <v>258</v>
      </c>
      <c r="X1" s="118" t="s">
        <v>299</v>
      </c>
      <c r="Y1" s="118" t="s">
        <v>276</v>
      </c>
    </row>
    <row r="2" spans="1:25" ht="22" customHeight="1" x14ac:dyDescent="0.2">
      <c r="A2" t="s">
        <v>331</v>
      </c>
      <c r="B2">
        <f>0*200</f>
        <v>0</v>
      </c>
      <c r="C2">
        <v>0.86399999999999999</v>
      </c>
      <c r="H2" s="126">
        <v>384</v>
      </c>
      <c r="I2" s="117">
        <v>10000</v>
      </c>
      <c r="J2" s="116">
        <v>12</v>
      </c>
      <c r="K2" s="116">
        <v>21</v>
      </c>
      <c r="L2" s="116" t="s">
        <v>31</v>
      </c>
      <c r="M2" s="116">
        <v>0.46400000000000002</v>
      </c>
      <c r="N2" s="116">
        <v>0.21278</v>
      </c>
      <c r="O2" s="116">
        <v>0.24637000000000001</v>
      </c>
      <c r="P2" s="124">
        <f>1/22*(9.81*J2*I2)^(1/3)</f>
        <v>4.7994787187476415</v>
      </c>
      <c r="Q2" s="124">
        <f>22^2 * (9.81 / J2^2 / I2^2) ^ (1/3)</f>
        <v>0.42587374497687464</v>
      </c>
      <c r="R2" s="124">
        <f>4*SQRT(0.000000167 * J2^2 * I2 / 9.81)</f>
        <v>0.62627484660190413</v>
      </c>
      <c r="S2" s="123">
        <f>P2/C2</f>
        <v>5.5549522207727335</v>
      </c>
      <c r="T2" s="124">
        <f t="shared" ref="T2:T22" si="0">Q2*R2</f>
        <v>0.26671401430717062</v>
      </c>
      <c r="U2" s="124"/>
      <c r="V2" s="130">
        <v>6.93</v>
      </c>
      <c r="W2" s="129">
        <v>0.26700000000000002</v>
      </c>
      <c r="X2" s="129" t="s">
        <v>300</v>
      </c>
    </row>
    <row r="3" spans="1:25" ht="22" customHeight="1" x14ac:dyDescent="0.2">
      <c r="A3" t="s">
        <v>343</v>
      </c>
      <c r="B3">
        <f>B2+500</f>
        <v>500</v>
      </c>
      <c r="C3" s="128">
        <v>0.65700000000000003</v>
      </c>
      <c r="H3" s="126">
        <v>384</v>
      </c>
      <c r="I3" s="117">
        <v>10000</v>
      </c>
      <c r="J3" s="116">
        <v>12</v>
      </c>
      <c r="K3" s="116">
        <v>21</v>
      </c>
      <c r="L3" s="116" t="s">
        <v>31</v>
      </c>
      <c r="M3" s="116">
        <v>0.46400000000000002</v>
      </c>
      <c r="N3" s="116">
        <v>0.21278</v>
      </c>
      <c r="O3" s="116">
        <v>0.24637000000000001</v>
      </c>
      <c r="P3" s="124">
        <f t="shared" ref="P3:P22" si="1">1/22*(9.81*J3*I3)^(1/3)</f>
        <v>4.7994787187476415</v>
      </c>
      <c r="Q3" s="124">
        <f t="shared" ref="Q3:Q22" si="2">22^2 * (9.81 / J3^2 / I3^2) ^ (1/3)</f>
        <v>0.42587374497687464</v>
      </c>
      <c r="R3" s="124">
        <f t="shared" ref="R3:R22" si="3">4*SQRT(0.000000167 * J3^2 * I3 / 9.81)</f>
        <v>0.62627484660190413</v>
      </c>
      <c r="S3" s="123">
        <f t="shared" ref="S3:S22" si="4">P3/C3</f>
        <v>7.305142646495649</v>
      </c>
      <c r="T3" s="124">
        <f t="shared" si="0"/>
        <v>0.26671401430717062</v>
      </c>
      <c r="U3" s="124"/>
      <c r="X3" s="129" t="s">
        <v>300</v>
      </c>
    </row>
    <row r="4" spans="1:25" ht="22" customHeight="1" x14ac:dyDescent="0.2">
      <c r="A4" t="s">
        <v>344</v>
      </c>
      <c r="B4">
        <f t="shared" ref="B4:B22" si="5">B3+500</f>
        <v>1000</v>
      </c>
      <c r="C4">
        <v>0.73899999999999999</v>
      </c>
      <c r="H4" s="126">
        <v>384</v>
      </c>
      <c r="I4" s="117">
        <v>10000</v>
      </c>
      <c r="J4" s="116">
        <v>12</v>
      </c>
      <c r="K4" s="116">
        <v>21</v>
      </c>
      <c r="L4" s="116" t="s">
        <v>31</v>
      </c>
      <c r="M4" s="116">
        <v>0.46400000000000002</v>
      </c>
      <c r="N4" s="116">
        <v>0.21278</v>
      </c>
      <c r="O4" s="116">
        <v>0.24637000000000001</v>
      </c>
      <c r="P4" s="124">
        <f t="shared" si="1"/>
        <v>4.7994787187476415</v>
      </c>
      <c r="Q4" s="124">
        <f t="shared" si="2"/>
        <v>0.42587374497687464</v>
      </c>
      <c r="R4" s="124">
        <f t="shared" si="3"/>
        <v>0.62627484660190413</v>
      </c>
      <c r="S4" s="123">
        <f t="shared" si="4"/>
        <v>6.4945584827437637</v>
      </c>
      <c r="T4" s="124">
        <f t="shared" si="0"/>
        <v>0.26671401430717062</v>
      </c>
      <c r="U4" s="124"/>
      <c r="X4" s="129" t="s">
        <v>300</v>
      </c>
    </row>
    <row r="5" spans="1:25" ht="22" customHeight="1" x14ac:dyDescent="0.2">
      <c r="A5" t="s">
        <v>345</v>
      </c>
      <c r="B5">
        <f t="shared" si="5"/>
        <v>1500</v>
      </c>
      <c r="C5">
        <v>0.748</v>
      </c>
      <c r="H5" s="126">
        <v>384</v>
      </c>
      <c r="I5" s="117">
        <v>10000</v>
      </c>
      <c r="J5" s="116">
        <v>12</v>
      </c>
      <c r="K5" s="116">
        <v>21</v>
      </c>
      <c r="L5" s="116" t="s">
        <v>31</v>
      </c>
      <c r="M5" s="116">
        <v>0.46400000000000002</v>
      </c>
      <c r="N5" s="116">
        <v>0.21278</v>
      </c>
      <c r="O5" s="116">
        <v>0.24637000000000001</v>
      </c>
      <c r="P5" s="124">
        <f t="shared" si="1"/>
        <v>4.7994787187476415</v>
      </c>
      <c r="Q5" s="124">
        <f t="shared" si="2"/>
        <v>0.42587374497687464</v>
      </c>
      <c r="R5" s="124">
        <f t="shared" si="3"/>
        <v>0.62627484660190413</v>
      </c>
      <c r="S5" s="123">
        <f t="shared" si="4"/>
        <v>6.4164153993952429</v>
      </c>
      <c r="T5" s="124">
        <f t="shared" si="0"/>
        <v>0.26671401430717062</v>
      </c>
      <c r="U5" s="124"/>
      <c r="X5" s="129" t="s">
        <v>300</v>
      </c>
    </row>
    <row r="6" spans="1:25" ht="22" customHeight="1" x14ac:dyDescent="0.2">
      <c r="A6" t="s">
        <v>346</v>
      </c>
      <c r="B6">
        <f t="shared" si="5"/>
        <v>2000</v>
      </c>
      <c r="C6">
        <v>0.745</v>
      </c>
      <c r="H6" s="126">
        <v>384</v>
      </c>
      <c r="I6" s="117">
        <v>10000</v>
      </c>
      <c r="J6" s="116">
        <v>12</v>
      </c>
      <c r="K6" s="116">
        <v>21</v>
      </c>
      <c r="L6" s="116" t="s">
        <v>31</v>
      </c>
      <c r="M6" s="116">
        <v>0.46400000000000002</v>
      </c>
      <c r="N6" s="116">
        <v>0.21278</v>
      </c>
      <c r="O6" s="116">
        <v>0.24637000000000001</v>
      </c>
      <c r="P6" s="124">
        <f t="shared" si="1"/>
        <v>4.7994787187476415</v>
      </c>
      <c r="Q6" s="124">
        <f t="shared" si="2"/>
        <v>0.42587374497687464</v>
      </c>
      <c r="R6" s="124">
        <f t="shared" si="3"/>
        <v>0.62627484660190413</v>
      </c>
      <c r="S6" s="123">
        <f t="shared" si="4"/>
        <v>6.4422533137552236</v>
      </c>
      <c r="T6" s="124">
        <f t="shared" si="0"/>
        <v>0.26671401430717062</v>
      </c>
      <c r="U6" s="124"/>
      <c r="X6" s="129" t="s">
        <v>300</v>
      </c>
    </row>
    <row r="7" spans="1:25" ht="22" customHeight="1" x14ac:dyDescent="0.2">
      <c r="A7" t="s">
        <v>347</v>
      </c>
      <c r="B7">
        <f t="shared" si="5"/>
        <v>2500</v>
      </c>
      <c r="C7">
        <v>0.74199999999999999</v>
      </c>
      <c r="H7" s="126">
        <v>384</v>
      </c>
      <c r="I7" s="117">
        <v>10000</v>
      </c>
      <c r="J7" s="116">
        <v>12</v>
      </c>
      <c r="K7" s="116">
        <v>21</v>
      </c>
      <c r="L7" s="116" t="s">
        <v>31</v>
      </c>
      <c r="M7" s="116">
        <v>0.46400000000000002</v>
      </c>
      <c r="N7" s="116">
        <v>0.21278</v>
      </c>
      <c r="O7" s="116">
        <v>0.24637000000000001</v>
      </c>
      <c r="P7" s="124">
        <f t="shared" si="1"/>
        <v>4.7994787187476415</v>
      </c>
      <c r="Q7" s="124">
        <f t="shared" si="2"/>
        <v>0.42587374497687464</v>
      </c>
      <c r="R7" s="124">
        <f t="shared" si="3"/>
        <v>0.62627484660190413</v>
      </c>
      <c r="S7" s="123">
        <f t="shared" si="4"/>
        <v>6.4683001600372529</v>
      </c>
      <c r="T7" s="124">
        <f t="shared" si="0"/>
        <v>0.26671401430717062</v>
      </c>
      <c r="U7" s="124"/>
      <c r="X7" s="129" t="s">
        <v>300</v>
      </c>
    </row>
    <row r="8" spans="1:25" ht="22" customHeight="1" x14ac:dyDescent="0.2">
      <c r="A8" t="s">
        <v>348</v>
      </c>
      <c r="B8">
        <f t="shared" si="5"/>
        <v>3000</v>
      </c>
      <c r="C8">
        <v>0.755</v>
      </c>
      <c r="H8" s="126">
        <v>384</v>
      </c>
      <c r="I8" s="117">
        <v>10000</v>
      </c>
      <c r="J8" s="116">
        <v>12</v>
      </c>
      <c r="K8" s="116">
        <v>21</v>
      </c>
      <c r="L8" s="116" t="s">
        <v>31</v>
      </c>
      <c r="M8" s="116">
        <v>0.46400000000000002</v>
      </c>
      <c r="N8" s="116">
        <v>0.21278</v>
      </c>
      <c r="O8" s="116">
        <v>0.24637000000000001</v>
      </c>
      <c r="P8" s="124">
        <f t="shared" si="1"/>
        <v>4.7994787187476415</v>
      </c>
      <c r="Q8" s="124">
        <f t="shared" si="2"/>
        <v>0.42587374497687464</v>
      </c>
      <c r="R8" s="124">
        <f t="shared" si="3"/>
        <v>0.62627484660190413</v>
      </c>
      <c r="S8" s="123">
        <f t="shared" si="4"/>
        <v>6.3569254552948893</v>
      </c>
      <c r="T8" s="124">
        <f t="shared" si="0"/>
        <v>0.26671401430717062</v>
      </c>
      <c r="U8" s="124"/>
      <c r="X8" s="129" t="s">
        <v>300</v>
      </c>
    </row>
    <row r="9" spans="1:25" ht="22" customHeight="1" x14ac:dyDescent="0.2">
      <c r="A9" t="s">
        <v>349</v>
      </c>
      <c r="B9">
        <f t="shared" si="5"/>
        <v>3500</v>
      </c>
      <c r="C9">
        <v>0.76100000000000001</v>
      </c>
      <c r="H9" s="126">
        <v>384</v>
      </c>
      <c r="I9" s="117">
        <v>10000</v>
      </c>
      <c r="J9" s="116">
        <v>12</v>
      </c>
      <c r="K9" s="116">
        <v>21</v>
      </c>
      <c r="L9" s="116" t="s">
        <v>31</v>
      </c>
      <c r="M9" s="116">
        <v>0.46400000000000002</v>
      </c>
      <c r="N9" s="116">
        <v>0.21278</v>
      </c>
      <c r="O9" s="116">
        <v>0.24637000000000001</v>
      </c>
      <c r="P9" s="124">
        <f t="shared" si="1"/>
        <v>4.7994787187476415</v>
      </c>
      <c r="Q9" s="124">
        <f t="shared" si="2"/>
        <v>0.42587374497687464</v>
      </c>
      <c r="R9" s="124">
        <f t="shared" si="3"/>
        <v>0.62627484660190413</v>
      </c>
      <c r="S9" s="123">
        <f t="shared" si="4"/>
        <v>6.3068051494712769</v>
      </c>
      <c r="T9" s="124">
        <f t="shared" si="0"/>
        <v>0.26671401430717062</v>
      </c>
      <c r="U9" s="124"/>
      <c r="X9" s="129" t="s">
        <v>300</v>
      </c>
    </row>
    <row r="10" spans="1:25" ht="22" customHeight="1" x14ac:dyDescent="0.2">
      <c r="A10" t="s">
        <v>350</v>
      </c>
      <c r="B10">
        <f t="shared" si="5"/>
        <v>4000</v>
      </c>
      <c r="C10">
        <v>0.77600000000000002</v>
      </c>
      <c r="H10" s="126">
        <v>384</v>
      </c>
      <c r="I10" s="117">
        <v>10000</v>
      </c>
      <c r="J10" s="116">
        <v>12</v>
      </c>
      <c r="K10" s="116">
        <v>21</v>
      </c>
      <c r="L10" s="116" t="s">
        <v>31</v>
      </c>
      <c r="M10" s="116">
        <v>0.46400000000000002</v>
      </c>
      <c r="N10" s="116">
        <v>0.21278</v>
      </c>
      <c r="O10" s="116">
        <v>0.24637000000000001</v>
      </c>
      <c r="P10" s="124">
        <f t="shared" si="1"/>
        <v>4.7994787187476415</v>
      </c>
      <c r="Q10" s="124">
        <f t="shared" si="2"/>
        <v>0.42587374497687464</v>
      </c>
      <c r="R10" s="124">
        <f t="shared" si="3"/>
        <v>0.62627484660190413</v>
      </c>
      <c r="S10" s="123">
        <f t="shared" si="4"/>
        <v>6.1848952561180948</v>
      </c>
      <c r="T10" s="124">
        <f t="shared" si="0"/>
        <v>0.26671401430717062</v>
      </c>
      <c r="U10" s="124"/>
      <c r="X10" s="129" t="s">
        <v>300</v>
      </c>
    </row>
    <row r="11" spans="1:25" ht="22" customHeight="1" x14ac:dyDescent="0.2">
      <c r="A11" t="s">
        <v>351</v>
      </c>
      <c r="B11">
        <f t="shared" si="5"/>
        <v>4500</v>
      </c>
      <c r="C11">
        <v>0.77300000000000002</v>
      </c>
      <c r="H11" s="126">
        <v>384</v>
      </c>
      <c r="I11" s="117">
        <v>10000</v>
      </c>
      <c r="J11" s="116">
        <v>12</v>
      </c>
      <c r="K11" s="116">
        <v>21</v>
      </c>
      <c r="L11" s="116" t="s">
        <v>31</v>
      </c>
      <c r="M11" s="116">
        <v>0.46400000000000002</v>
      </c>
      <c r="N11" s="116">
        <v>0.21278</v>
      </c>
      <c r="O11" s="116">
        <v>0.24637000000000001</v>
      </c>
      <c r="P11" s="124">
        <f t="shared" si="1"/>
        <v>4.7994787187476415</v>
      </c>
      <c r="Q11" s="124">
        <f t="shared" si="2"/>
        <v>0.42587374497687464</v>
      </c>
      <c r="R11" s="124">
        <f t="shared" si="3"/>
        <v>0.62627484660190413</v>
      </c>
      <c r="S11" s="123">
        <f t="shared" si="4"/>
        <v>6.2088987305920327</v>
      </c>
      <c r="T11" s="124">
        <f t="shared" si="0"/>
        <v>0.26671401430717062</v>
      </c>
      <c r="U11" s="124"/>
      <c r="X11" s="129" t="s">
        <v>300</v>
      </c>
    </row>
    <row r="12" spans="1:25" ht="22" customHeight="1" x14ac:dyDescent="0.2">
      <c r="A12" t="s">
        <v>332</v>
      </c>
      <c r="B12">
        <f t="shared" si="5"/>
        <v>5000</v>
      </c>
      <c r="C12">
        <v>0.78700000000000003</v>
      </c>
      <c r="H12" s="126">
        <v>384</v>
      </c>
      <c r="I12" s="117">
        <v>10000</v>
      </c>
      <c r="J12" s="116">
        <v>12</v>
      </c>
      <c r="K12" s="116">
        <v>21</v>
      </c>
      <c r="L12" s="116" t="s">
        <v>31</v>
      </c>
      <c r="M12" s="116">
        <v>0.46400000000000002</v>
      </c>
      <c r="N12" s="116">
        <v>0.21278</v>
      </c>
      <c r="O12" s="116">
        <v>0.24637000000000001</v>
      </c>
      <c r="P12" s="124">
        <f t="shared" si="1"/>
        <v>4.7994787187476415</v>
      </c>
      <c r="Q12" s="124">
        <f t="shared" si="2"/>
        <v>0.42587374497687464</v>
      </c>
      <c r="R12" s="124">
        <f t="shared" si="3"/>
        <v>0.62627484660190413</v>
      </c>
      <c r="S12" s="123">
        <f t="shared" si="4"/>
        <v>6.0984481813820093</v>
      </c>
      <c r="T12" s="124">
        <f t="shared" si="0"/>
        <v>0.26671401430717062</v>
      </c>
      <c r="U12" s="124"/>
      <c r="X12" s="129" t="s">
        <v>300</v>
      </c>
    </row>
    <row r="13" spans="1:25" ht="22" customHeight="1" x14ac:dyDescent="0.2">
      <c r="A13" t="s">
        <v>352</v>
      </c>
      <c r="B13">
        <f t="shared" si="5"/>
        <v>5500</v>
      </c>
      <c r="C13">
        <v>0.77700000000000002</v>
      </c>
      <c r="H13" s="126">
        <v>384</v>
      </c>
      <c r="I13" s="117">
        <v>10000</v>
      </c>
      <c r="J13" s="116">
        <v>12</v>
      </c>
      <c r="K13" s="116">
        <v>21</v>
      </c>
      <c r="L13" s="116" t="s">
        <v>31</v>
      </c>
      <c r="M13" s="116">
        <v>0.46400000000000002</v>
      </c>
      <c r="N13" s="116">
        <v>0.21278</v>
      </c>
      <c r="O13" s="116">
        <v>0.24637000000000001</v>
      </c>
      <c r="P13" s="124">
        <f t="shared" si="1"/>
        <v>4.7994787187476415</v>
      </c>
      <c r="Q13" s="124">
        <f t="shared" si="2"/>
        <v>0.42587374497687464</v>
      </c>
      <c r="R13" s="124">
        <f t="shared" si="3"/>
        <v>0.62627484660190413</v>
      </c>
      <c r="S13" s="123">
        <f t="shared" si="4"/>
        <v>6.1769352879635022</v>
      </c>
      <c r="T13" s="124">
        <f t="shared" si="0"/>
        <v>0.26671401430717062</v>
      </c>
      <c r="U13" s="124"/>
      <c r="X13" s="129" t="s">
        <v>300</v>
      </c>
    </row>
    <row r="14" spans="1:25" ht="22" customHeight="1" x14ac:dyDescent="0.2">
      <c r="A14" t="s">
        <v>353</v>
      </c>
      <c r="B14">
        <f t="shared" si="5"/>
        <v>6000</v>
      </c>
      <c r="C14">
        <v>0.77400000000000002</v>
      </c>
      <c r="H14" s="126">
        <v>384</v>
      </c>
      <c r="I14" s="117">
        <v>10000</v>
      </c>
      <c r="J14" s="116">
        <v>12</v>
      </c>
      <c r="K14" s="116">
        <v>21</v>
      </c>
      <c r="L14" s="116" t="s">
        <v>31</v>
      </c>
      <c r="M14" s="116">
        <v>0.46400000000000002</v>
      </c>
      <c r="N14" s="116">
        <v>0.21278</v>
      </c>
      <c r="O14" s="116">
        <v>0.24637000000000001</v>
      </c>
      <c r="P14" s="124">
        <f t="shared" si="1"/>
        <v>4.7994787187476415</v>
      </c>
      <c r="Q14" s="124">
        <f t="shared" si="2"/>
        <v>0.42587374497687464</v>
      </c>
      <c r="R14" s="124">
        <f t="shared" si="3"/>
        <v>0.62627484660190413</v>
      </c>
      <c r="S14" s="123">
        <f t="shared" si="4"/>
        <v>6.2008768976067721</v>
      </c>
      <c r="T14" s="124">
        <f t="shared" si="0"/>
        <v>0.26671401430717062</v>
      </c>
      <c r="U14" s="124"/>
      <c r="X14" s="129" t="s">
        <v>300</v>
      </c>
    </row>
    <row r="15" spans="1:25" ht="22" customHeight="1" x14ac:dyDescent="0.2">
      <c r="A15" t="s">
        <v>354</v>
      </c>
      <c r="B15">
        <f t="shared" si="5"/>
        <v>6500</v>
      </c>
      <c r="C15">
        <v>0.77400000000000002</v>
      </c>
      <c r="H15" s="126">
        <v>384</v>
      </c>
      <c r="I15" s="117">
        <v>10000</v>
      </c>
      <c r="J15" s="116">
        <v>12</v>
      </c>
      <c r="K15" s="116">
        <v>21</v>
      </c>
      <c r="L15" s="116" t="s">
        <v>31</v>
      </c>
      <c r="M15" s="116">
        <v>0.46400000000000002</v>
      </c>
      <c r="N15" s="116">
        <v>0.21278</v>
      </c>
      <c r="O15" s="116">
        <v>0.24637000000000001</v>
      </c>
      <c r="P15" s="124">
        <f t="shared" si="1"/>
        <v>4.7994787187476415</v>
      </c>
      <c r="Q15" s="124">
        <f t="shared" si="2"/>
        <v>0.42587374497687464</v>
      </c>
      <c r="R15" s="124">
        <f t="shared" si="3"/>
        <v>0.62627484660190413</v>
      </c>
      <c r="S15" s="123">
        <f t="shared" si="4"/>
        <v>6.2008768976067721</v>
      </c>
      <c r="T15" s="124">
        <f t="shared" si="0"/>
        <v>0.26671401430717062</v>
      </c>
      <c r="U15" s="124"/>
      <c r="X15" s="129" t="s">
        <v>300</v>
      </c>
    </row>
    <row r="16" spans="1:25" ht="22" customHeight="1" x14ac:dyDescent="0.2">
      <c r="A16" t="s">
        <v>355</v>
      </c>
      <c r="B16">
        <f>B15+500</f>
        <v>7000</v>
      </c>
      <c r="C16">
        <v>0.78900000000000003</v>
      </c>
      <c r="H16" s="126">
        <v>384</v>
      </c>
      <c r="I16" s="117">
        <v>10000</v>
      </c>
      <c r="J16" s="116">
        <v>12</v>
      </c>
      <c r="K16" s="116">
        <v>21</v>
      </c>
      <c r="L16" s="116" t="s">
        <v>31</v>
      </c>
      <c r="M16" s="116">
        <v>0.46400000000000002</v>
      </c>
      <c r="N16" s="116">
        <v>0.21278</v>
      </c>
      <c r="O16" s="116">
        <v>0.24637000000000001</v>
      </c>
      <c r="P16" s="124">
        <f t="shared" si="1"/>
        <v>4.7994787187476415</v>
      </c>
      <c r="Q16" s="124">
        <f t="shared" si="2"/>
        <v>0.42587374497687464</v>
      </c>
      <c r="R16" s="124">
        <f t="shared" si="3"/>
        <v>0.62627484660190413</v>
      </c>
      <c r="S16" s="123">
        <f t="shared" si="4"/>
        <v>6.0829895041161484</v>
      </c>
      <c r="T16" s="124">
        <f t="shared" si="0"/>
        <v>0.26671401430717062</v>
      </c>
      <c r="U16" s="124"/>
      <c r="X16" s="129" t="s">
        <v>300</v>
      </c>
    </row>
    <row r="17" spans="1:24" ht="22" customHeight="1" x14ac:dyDescent="0.2">
      <c r="A17" t="s">
        <v>356</v>
      </c>
      <c r="B17">
        <f t="shared" si="5"/>
        <v>7500</v>
      </c>
      <c r="C17">
        <v>0.79300000000000004</v>
      </c>
      <c r="H17" s="126">
        <v>384</v>
      </c>
      <c r="I17" s="117">
        <v>10000</v>
      </c>
      <c r="J17" s="116">
        <v>12</v>
      </c>
      <c r="K17" s="116">
        <v>21</v>
      </c>
      <c r="L17" s="116" t="s">
        <v>31</v>
      </c>
      <c r="M17" s="116">
        <v>0.46400000000000002</v>
      </c>
      <c r="N17" s="116">
        <v>0.21278</v>
      </c>
      <c r="O17" s="116">
        <v>0.24637000000000001</v>
      </c>
      <c r="P17" s="124">
        <f t="shared" si="1"/>
        <v>4.7994787187476415</v>
      </c>
      <c r="Q17" s="124">
        <f t="shared" si="2"/>
        <v>0.42587374497687464</v>
      </c>
      <c r="R17" s="124">
        <f t="shared" si="3"/>
        <v>0.62627484660190413</v>
      </c>
      <c r="S17" s="123">
        <f t="shared" si="4"/>
        <v>6.052306076604844</v>
      </c>
      <c r="T17" s="124">
        <f t="shared" si="0"/>
        <v>0.26671401430717062</v>
      </c>
      <c r="U17" s="124"/>
      <c r="X17" s="129" t="s">
        <v>300</v>
      </c>
    </row>
    <row r="18" spans="1:24" ht="22" customHeight="1" x14ac:dyDescent="0.2">
      <c r="A18" t="s">
        <v>357</v>
      </c>
      <c r="B18">
        <f t="shared" si="5"/>
        <v>8000</v>
      </c>
      <c r="C18">
        <v>0.81699999999999995</v>
      </c>
      <c r="H18" s="126">
        <v>384</v>
      </c>
      <c r="I18" s="117">
        <v>10000</v>
      </c>
      <c r="J18" s="116">
        <v>12</v>
      </c>
      <c r="K18" s="116">
        <v>21</v>
      </c>
      <c r="L18" s="116" t="s">
        <v>31</v>
      </c>
      <c r="M18" s="116">
        <v>0.46400000000000002</v>
      </c>
      <c r="N18" s="116">
        <v>0.21278</v>
      </c>
      <c r="O18" s="116">
        <v>0.24637000000000001</v>
      </c>
      <c r="P18" s="124">
        <f t="shared" si="1"/>
        <v>4.7994787187476415</v>
      </c>
      <c r="Q18" s="124">
        <f t="shared" si="2"/>
        <v>0.42587374497687464</v>
      </c>
      <c r="R18" s="124">
        <f t="shared" si="3"/>
        <v>0.62627484660190413</v>
      </c>
      <c r="S18" s="123">
        <f t="shared" si="4"/>
        <v>5.8745149556274683</v>
      </c>
      <c r="T18" s="124">
        <f t="shared" si="0"/>
        <v>0.26671401430717062</v>
      </c>
      <c r="U18" s="124"/>
      <c r="X18" s="129" t="s">
        <v>300</v>
      </c>
    </row>
    <row r="19" spans="1:24" ht="22" customHeight="1" x14ac:dyDescent="0.2">
      <c r="A19" t="s">
        <v>358</v>
      </c>
      <c r="B19">
        <f t="shared" si="5"/>
        <v>8500</v>
      </c>
      <c r="C19">
        <v>0.82199999999999995</v>
      </c>
      <c r="H19" s="126">
        <v>384</v>
      </c>
      <c r="I19" s="117">
        <v>10000</v>
      </c>
      <c r="J19" s="116">
        <v>12</v>
      </c>
      <c r="K19" s="116">
        <v>21</v>
      </c>
      <c r="L19" s="116" t="s">
        <v>31</v>
      </c>
      <c r="M19" s="116">
        <v>0.46400000000000002</v>
      </c>
      <c r="N19" s="116">
        <v>0.21278</v>
      </c>
      <c r="O19" s="116">
        <v>0.24637000000000001</v>
      </c>
      <c r="P19" s="124">
        <f t="shared" si="1"/>
        <v>4.7994787187476415</v>
      </c>
      <c r="Q19" s="124">
        <f t="shared" si="2"/>
        <v>0.42587374497687464</v>
      </c>
      <c r="R19" s="124">
        <f t="shared" si="3"/>
        <v>0.62627484660190413</v>
      </c>
      <c r="S19" s="123">
        <f t="shared" si="4"/>
        <v>5.8387818962866689</v>
      </c>
      <c r="T19" s="124">
        <f t="shared" si="0"/>
        <v>0.26671401430717062</v>
      </c>
      <c r="U19" s="124"/>
      <c r="X19" s="129" t="s">
        <v>300</v>
      </c>
    </row>
    <row r="20" spans="1:24" ht="22" customHeight="1" x14ac:dyDescent="0.2">
      <c r="A20" t="s">
        <v>359</v>
      </c>
      <c r="B20">
        <f t="shared" si="5"/>
        <v>9000</v>
      </c>
      <c r="C20">
        <v>0.81899999999999995</v>
      </c>
      <c r="H20" s="126">
        <v>384</v>
      </c>
      <c r="I20" s="117">
        <v>10000</v>
      </c>
      <c r="J20" s="116">
        <v>12</v>
      </c>
      <c r="K20" s="116">
        <v>21</v>
      </c>
      <c r="L20" s="116" t="s">
        <v>31</v>
      </c>
      <c r="M20" s="116">
        <v>0.46400000000000002</v>
      </c>
      <c r="N20" s="116">
        <v>0.21278</v>
      </c>
      <c r="O20" s="116">
        <v>0.24637000000000001</v>
      </c>
      <c r="P20" s="124">
        <f t="shared" si="1"/>
        <v>4.7994787187476415</v>
      </c>
      <c r="Q20" s="124">
        <f t="shared" si="2"/>
        <v>0.42587374497687464</v>
      </c>
      <c r="R20" s="124">
        <f t="shared" si="3"/>
        <v>0.62627484660190413</v>
      </c>
      <c r="S20" s="123">
        <f t="shared" si="4"/>
        <v>5.860169375760246</v>
      </c>
      <c r="T20" s="124">
        <f t="shared" si="0"/>
        <v>0.26671401430717062</v>
      </c>
      <c r="U20" s="124"/>
      <c r="X20" s="129" t="s">
        <v>300</v>
      </c>
    </row>
    <row r="21" spans="1:24" ht="22" customHeight="1" x14ac:dyDescent="0.2">
      <c r="A21" t="s">
        <v>360</v>
      </c>
      <c r="B21">
        <f t="shared" si="5"/>
        <v>9500</v>
      </c>
      <c r="C21">
        <v>0.81899999999999995</v>
      </c>
      <c r="H21" s="126">
        <v>384</v>
      </c>
      <c r="I21" s="117">
        <v>10000</v>
      </c>
      <c r="J21" s="116">
        <v>12</v>
      </c>
      <c r="K21" s="116">
        <v>21</v>
      </c>
      <c r="L21" s="116" t="s">
        <v>31</v>
      </c>
      <c r="M21" s="116">
        <v>0.46400000000000002</v>
      </c>
      <c r="N21" s="116">
        <v>0.21278</v>
      </c>
      <c r="O21" s="116">
        <v>0.24637000000000001</v>
      </c>
      <c r="P21" s="124">
        <f t="shared" si="1"/>
        <v>4.7994787187476415</v>
      </c>
      <c r="Q21" s="124">
        <f t="shared" si="2"/>
        <v>0.42587374497687464</v>
      </c>
      <c r="R21" s="124">
        <f t="shared" si="3"/>
        <v>0.62627484660190413</v>
      </c>
      <c r="S21" s="123">
        <f t="shared" si="4"/>
        <v>5.860169375760246</v>
      </c>
      <c r="T21" s="124">
        <f t="shared" si="0"/>
        <v>0.26671401430717062</v>
      </c>
      <c r="U21" s="124"/>
      <c r="X21" s="129" t="s">
        <v>300</v>
      </c>
    </row>
    <row r="22" spans="1:24" ht="22" customHeight="1" x14ac:dyDescent="0.2">
      <c r="A22" t="s">
        <v>333</v>
      </c>
      <c r="B22">
        <f t="shared" si="5"/>
        <v>10000</v>
      </c>
      <c r="C22">
        <v>0.81799999999999995</v>
      </c>
      <c r="H22" s="126">
        <v>384</v>
      </c>
      <c r="I22" s="117">
        <v>10000</v>
      </c>
      <c r="J22" s="116">
        <v>12</v>
      </c>
      <c r="K22" s="116">
        <v>21</v>
      </c>
      <c r="L22" s="116" t="s">
        <v>31</v>
      </c>
      <c r="M22" s="116">
        <v>0.46400000000000002</v>
      </c>
      <c r="N22" s="116">
        <v>0.21278</v>
      </c>
      <c r="O22" s="116">
        <v>0.24637000000000001</v>
      </c>
      <c r="P22" s="124">
        <f t="shared" si="1"/>
        <v>4.7994787187476415</v>
      </c>
      <c r="Q22" s="124">
        <f t="shared" si="2"/>
        <v>0.42587374497687464</v>
      </c>
      <c r="R22" s="124">
        <f t="shared" si="3"/>
        <v>0.62627484660190413</v>
      </c>
      <c r="S22" s="123">
        <f t="shared" si="4"/>
        <v>5.8673333970020067</v>
      </c>
      <c r="T22" s="124">
        <f t="shared" si="0"/>
        <v>0.26671401430717062</v>
      </c>
      <c r="U22" s="124"/>
      <c r="X22" s="129" t="s">
        <v>300</v>
      </c>
    </row>
  </sheetData>
  <phoneticPr fontId="4" type="noConversion"/>
  <conditionalFormatting sqref="L2:L22">
    <cfRule type="containsText" dxfId="26" priority="1" stopIfTrue="1" operator="containsText" text="bad">
      <formula>NOT(ISERROR(SEARCH("bad",L2)))</formula>
    </cfRule>
    <cfRule type="containsText" dxfId="25" priority="2" stopIfTrue="1" operator="containsText" text="error">
      <formula>NOT(ISERROR(SEARCH("error",L2)))</formula>
    </cfRule>
    <cfRule type="containsText" dxfId="24" priority="3" stopIfTrue="1" operator="containsText" text="running">
      <formula>NOT(ISERROR(SEARCH("running",L2)))</formula>
    </cfRule>
    <cfRule type="containsText" dxfId="23" priority="4" operator="containsText" text="done">
      <formula>NOT(ISERROR(SEARCH("done",L2)))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7CF8-8057-8040-8926-DCAF8351CEC4}">
  <dimension ref="A1:AA29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A3" activeCellId="1" sqref="A6:XFD6 A3:XFD3"/>
    </sheetView>
  </sheetViews>
  <sheetFormatPr baseColWidth="10" defaultRowHeight="16" x14ac:dyDescent="0.2"/>
  <cols>
    <col min="1" max="1" width="18.5" customWidth="1"/>
    <col min="2" max="2" width="15.5" customWidth="1"/>
    <col min="3" max="3" width="16.83203125" customWidth="1"/>
    <col min="4" max="4" width="10.33203125" customWidth="1"/>
    <col min="5" max="5" width="8.83203125" customWidth="1"/>
    <col min="7" max="7" width="12.5" customWidth="1"/>
    <col min="10" max="10" width="7.83203125" customWidth="1"/>
    <col min="11" max="11" width="9" customWidth="1"/>
    <col min="12" max="12" width="13.83203125" customWidth="1"/>
    <col min="21" max="22" width="8.1640625" customWidth="1"/>
    <col min="23" max="23" width="7.6640625" customWidth="1"/>
    <col min="24" max="24" width="9.33203125" customWidth="1"/>
    <col min="25" max="26" width="9.1640625" customWidth="1"/>
    <col min="27" max="27" width="30.83203125" customWidth="1"/>
  </cols>
  <sheetData>
    <row r="1" spans="1:27" s="118" customFormat="1" ht="26" customHeight="1" thickBot="1" x14ac:dyDescent="0.25">
      <c r="A1" s="120" t="s">
        <v>226</v>
      </c>
      <c r="B1" s="118" t="s">
        <v>268</v>
      </c>
      <c r="C1" s="118" t="s">
        <v>284</v>
      </c>
      <c r="D1" s="118" t="s">
        <v>285</v>
      </c>
      <c r="E1" s="118" t="s">
        <v>286</v>
      </c>
      <c r="F1" s="118" t="s">
        <v>287</v>
      </c>
      <c r="G1" s="118" t="s">
        <v>274</v>
      </c>
      <c r="H1" s="118" t="s">
        <v>288</v>
      </c>
      <c r="I1" s="118" t="s">
        <v>289</v>
      </c>
      <c r="J1" s="119" t="s">
        <v>45</v>
      </c>
      <c r="K1" s="119" t="s">
        <v>227</v>
      </c>
      <c r="L1" s="119" t="s">
        <v>290</v>
      </c>
      <c r="M1" s="119" t="s">
        <v>291</v>
      </c>
      <c r="N1" s="118" t="s">
        <v>240</v>
      </c>
      <c r="O1" s="118" t="s">
        <v>292</v>
      </c>
      <c r="P1" s="118" t="s">
        <v>242</v>
      </c>
      <c r="Q1" s="118" t="s">
        <v>243</v>
      </c>
      <c r="R1" s="118" t="s">
        <v>252</v>
      </c>
      <c r="S1" s="118" t="s">
        <v>254</v>
      </c>
      <c r="T1" s="118" t="s">
        <v>253</v>
      </c>
      <c r="U1" s="118" t="s">
        <v>195</v>
      </c>
      <c r="V1" s="118" t="s">
        <v>191</v>
      </c>
      <c r="W1" s="118" t="s">
        <v>192</v>
      </c>
      <c r="X1" s="118" t="s">
        <v>204</v>
      </c>
      <c r="Y1" s="118" t="s">
        <v>258</v>
      </c>
      <c r="Z1" s="118" t="s">
        <v>299</v>
      </c>
      <c r="AA1" s="118" t="s">
        <v>276</v>
      </c>
    </row>
    <row r="2" spans="1:27" s="116" customFormat="1" ht="26" customHeight="1" x14ac:dyDescent="0.2">
      <c r="A2" s="121" t="s">
        <v>269</v>
      </c>
      <c r="B2" s="116">
        <v>0.49299999999999999</v>
      </c>
      <c r="E2" s="116">
        <v>21</v>
      </c>
      <c r="F2" s="116">
        <v>3269</v>
      </c>
      <c r="G2" s="127">
        <v>1.2099999999999999E-5</v>
      </c>
      <c r="H2" s="123">
        <f t="shared" ref="H2:H21" si="0">D2/B2</f>
        <v>0</v>
      </c>
      <c r="I2" s="123">
        <f t="shared" ref="I2:I29" si="1">F2*B2/600</f>
        <v>2.6860283333333332</v>
      </c>
      <c r="J2" s="126">
        <v>384</v>
      </c>
      <c r="K2" s="117">
        <v>1000</v>
      </c>
      <c r="L2" s="116">
        <v>12</v>
      </c>
      <c r="M2" s="116">
        <v>21</v>
      </c>
      <c r="N2" s="116" t="s">
        <v>31</v>
      </c>
      <c r="O2" s="116">
        <v>0.46400000000000002</v>
      </c>
      <c r="P2" s="116">
        <v>0.66249999999999998</v>
      </c>
      <c r="Q2" s="116">
        <v>1.18482</v>
      </c>
      <c r="R2" s="122" t="e">
        <f t="shared" ref="R2:R21" si="2">E2/C2</f>
        <v>#DIV/0!</v>
      </c>
      <c r="S2" s="117">
        <f t="shared" ref="S2:S21" si="3">0.000018/B2</f>
        <v>3.6511156186612576E-5</v>
      </c>
      <c r="T2" s="117">
        <f>600/S2</f>
        <v>16433333.333333334</v>
      </c>
      <c r="U2" s="124">
        <f t="shared" ref="U2:U22" si="4">1/22*(9.81*L2*K2)^(1/3)</f>
        <v>2.2277206828101219</v>
      </c>
      <c r="V2" s="124">
        <f t="shared" ref="V2:V22" si="5">22^2 * (9.81 / L2^2 / K2^2) ^ (1/3)</f>
        <v>1.976730819213516</v>
      </c>
      <c r="W2" s="124">
        <f t="shared" ref="W2:W22" si="6">4*SQRT(0.000000167 * L2^2 * K2 / 9.81)</f>
        <v>0.198045495653458</v>
      </c>
      <c r="X2" s="123">
        <f t="shared" ref="X2:X22" si="7">U2/B2</f>
        <v>4.5187032105681988</v>
      </c>
      <c r="Y2" s="124">
        <f>V2*W2</f>
        <v>0.39148263486460683</v>
      </c>
      <c r="Z2" s="124" t="s">
        <v>300</v>
      </c>
    </row>
    <row r="3" spans="1:27" s="116" customFormat="1" ht="26" customHeight="1" x14ac:dyDescent="0.2">
      <c r="A3" s="121" t="s">
        <v>270</v>
      </c>
      <c r="B3" s="116">
        <v>0.49099999999999999</v>
      </c>
      <c r="E3" s="116">
        <v>21</v>
      </c>
      <c r="F3" s="116">
        <v>3653</v>
      </c>
      <c r="G3" s="127">
        <v>1E-8</v>
      </c>
      <c r="H3" s="123">
        <f t="shared" si="0"/>
        <v>0</v>
      </c>
      <c r="I3" s="123">
        <f t="shared" si="1"/>
        <v>2.9893716666666665</v>
      </c>
      <c r="J3" s="126">
        <v>384</v>
      </c>
      <c r="K3" s="117">
        <v>1000</v>
      </c>
      <c r="L3" s="116">
        <v>12</v>
      </c>
      <c r="M3" s="116">
        <v>21</v>
      </c>
      <c r="N3" s="116" t="s">
        <v>31</v>
      </c>
      <c r="O3" s="116">
        <v>0.46400000000000002</v>
      </c>
      <c r="P3" s="116">
        <v>0.66249999999999998</v>
      </c>
      <c r="Q3" s="116">
        <v>1.18482</v>
      </c>
      <c r="R3" s="122" t="e">
        <f t="shared" si="2"/>
        <v>#DIV/0!</v>
      </c>
      <c r="S3" s="117">
        <f t="shared" si="3"/>
        <v>3.6659877800407336E-5</v>
      </c>
      <c r="T3" s="117">
        <f>600/S3</f>
        <v>16366666.666666664</v>
      </c>
      <c r="U3" s="124">
        <f t="shared" si="4"/>
        <v>2.2277206828101219</v>
      </c>
      <c r="V3" s="124">
        <f t="shared" si="5"/>
        <v>1.976730819213516</v>
      </c>
      <c r="W3" s="124">
        <f t="shared" si="6"/>
        <v>0.198045495653458</v>
      </c>
      <c r="X3" s="123">
        <f t="shared" si="7"/>
        <v>4.5371093336255033</v>
      </c>
      <c r="Y3" s="124">
        <f>V3*W3</f>
        <v>0.39148263486460683</v>
      </c>
      <c r="Z3" s="124" t="s">
        <v>300</v>
      </c>
    </row>
    <row r="4" spans="1:27" s="116" customFormat="1" ht="26" customHeight="1" x14ac:dyDescent="0.2">
      <c r="A4" s="121" t="s">
        <v>296</v>
      </c>
      <c r="B4" s="116">
        <v>0.55400000000000005</v>
      </c>
      <c r="C4" s="116">
        <v>13.484</v>
      </c>
      <c r="D4" s="116">
        <v>19.454999999999998</v>
      </c>
      <c r="E4" s="116">
        <v>21</v>
      </c>
      <c r="F4" s="116">
        <v>3246</v>
      </c>
      <c r="G4" s="127">
        <v>3.6000000000000002E-4</v>
      </c>
      <c r="H4" s="123">
        <f t="shared" si="0"/>
        <v>35.11732851985559</v>
      </c>
      <c r="I4" s="123">
        <f t="shared" si="1"/>
        <v>2.9971400000000004</v>
      </c>
      <c r="J4" s="126">
        <v>384</v>
      </c>
      <c r="K4" s="117">
        <v>10000</v>
      </c>
      <c r="L4" s="116">
        <v>12</v>
      </c>
      <c r="M4" s="116">
        <v>21</v>
      </c>
      <c r="N4" s="116" t="s">
        <v>31</v>
      </c>
      <c r="O4" s="116">
        <v>0.46400000000000002</v>
      </c>
      <c r="P4" s="116">
        <v>0.53410999999999997</v>
      </c>
      <c r="Q4" s="116">
        <v>1.0630500000000001</v>
      </c>
      <c r="R4" s="122">
        <f t="shared" si="2"/>
        <v>1.5574013645802434</v>
      </c>
      <c r="S4" s="117">
        <f t="shared" si="3"/>
        <v>3.2490974729241876E-5</v>
      </c>
      <c r="T4" s="117">
        <f t="shared" ref="T4:T27" si="8">600/S4</f>
        <v>18466666.666666668</v>
      </c>
      <c r="U4" s="124">
        <f t="shared" si="4"/>
        <v>4.7994787187476415</v>
      </c>
      <c r="V4" s="124">
        <f t="shared" si="5"/>
        <v>0.42587374497687464</v>
      </c>
      <c r="W4" s="124">
        <f t="shared" si="6"/>
        <v>0.62627484660190413</v>
      </c>
      <c r="X4" s="123">
        <f t="shared" si="7"/>
        <v>8.6633189869090987</v>
      </c>
      <c r="Y4" s="124">
        <f t="shared" ref="Y4:Y21" si="9">V4*W4</f>
        <v>0.26671401430717062</v>
      </c>
      <c r="Z4" s="124" t="s">
        <v>300</v>
      </c>
      <c r="AA4" s="116" t="s">
        <v>199</v>
      </c>
    </row>
    <row r="5" spans="1:27" s="116" customFormat="1" ht="26" customHeight="1" x14ac:dyDescent="0.2">
      <c r="A5" s="121" t="s">
        <v>293</v>
      </c>
      <c r="B5" s="116">
        <v>0.51300000000000001</v>
      </c>
      <c r="C5" s="116">
        <v>13.935</v>
      </c>
      <c r="D5" s="116">
        <v>19.503</v>
      </c>
      <c r="E5" s="116">
        <v>21</v>
      </c>
      <c r="F5" s="116">
        <v>3621</v>
      </c>
      <c r="G5" s="127">
        <v>1.0300000000000001E-3</v>
      </c>
      <c r="H5" s="123">
        <f t="shared" si="0"/>
        <v>38.017543859649123</v>
      </c>
      <c r="I5" s="123">
        <f t="shared" si="1"/>
        <v>3.095955</v>
      </c>
      <c r="J5" s="126">
        <v>384</v>
      </c>
      <c r="K5" s="117">
        <v>10000</v>
      </c>
      <c r="L5" s="116">
        <v>12</v>
      </c>
      <c r="M5" s="116">
        <v>21</v>
      </c>
      <c r="N5" s="116" t="s">
        <v>31</v>
      </c>
      <c r="O5" s="116">
        <v>0.46400000000000002</v>
      </c>
      <c r="P5" s="116">
        <v>0.53410999999999997</v>
      </c>
      <c r="Q5" s="116">
        <v>1.0630500000000001</v>
      </c>
      <c r="R5" s="122">
        <f>E5/C5</f>
        <v>1.5069967707212055</v>
      </c>
      <c r="S5" s="117">
        <f>0.000018/B5</f>
        <v>3.5087719298245611E-5</v>
      </c>
      <c r="T5" s="117">
        <f>600/S5</f>
        <v>17100000</v>
      </c>
      <c r="U5" s="124">
        <f>1/22*(9.81*L5*K5)^(1/3)</f>
        <v>4.7994787187476415</v>
      </c>
      <c r="V5" s="124">
        <v>0.42599999999999999</v>
      </c>
      <c r="W5" s="124">
        <f>4*SQRT(0.000000167 * L5^2 * K5 / 9.81)</f>
        <v>0.62627484660190413</v>
      </c>
      <c r="X5" s="123">
        <f>U5/B5</f>
        <v>9.3557090034067087</v>
      </c>
      <c r="Y5" s="124">
        <f>V5*W5</f>
        <v>0.26679308465241114</v>
      </c>
      <c r="Z5" s="124" t="s">
        <v>301</v>
      </c>
      <c r="AA5" s="116" t="s">
        <v>297</v>
      </c>
    </row>
    <row r="6" spans="1:27" s="116" customFormat="1" ht="26" customHeight="1" x14ac:dyDescent="0.2">
      <c r="A6" s="121" t="s">
        <v>306</v>
      </c>
      <c r="B6" s="116">
        <v>0.52800000000000002</v>
      </c>
      <c r="C6" s="116">
        <v>14.042</v>
      </c>
      <c r="E6" s="116">
        <v>21</v>
      </c>
      <c r="F6" s="116">
        <v>3283</v>
      </c>
      <c r="G6" s="127">
        <v>1.36E-4</v>
      </c>
      <c r="H6" s="123">
        <f>D6/B6</f>
        <v>0</v>
      </c>
      <c r="I6" s="123">
        <f>F6*B6/600</f>
        <v>2.8890400000000001</v>
      </c>
      <c r="J6" s="126">
        <v>384</v>
      </c>
      <c r="K6" s="117">
        <v>10000</v>
      </c>
      <c r="L6" s="116">
        <v>12</v>
      </c>
      <c r="M6" s="116">
        <v>21</v>
      </c>
      <c r="N6" s="116" t="s">
        <v>31</v>
      </c>
      <c r="O6" s="116">
        <v>0.46400000000000002</v>
      </c>
      <c r="P6" s="116">
        <v>0.53410999999999997</v>
      </c>
      <c r="Q6" s="116">
        <v>1.0630500000000001</v>
      </c>
      <c r="R6" s="122">
        <f>E6/C6</f>
        <v>1.4955134596211366</v>
      </c>
      <c r="S6" s="117">
        <f>0.000018/B6</f>
        <v>3.4090909090909092E-5</v>
      </c>
      <c r="T6" s="117">
        <f>600/S6</f>
        <v>17600000</v>
      </c>
      <c r="U6" s="124">
        <f>1/22*(9.81*L6*K6)^(1/3)</f>
        <v>4.7994787187476415</v>
      </c>
      <c r="V6" s="124">
        <v>0.42599999999999999</v>
      </c>
      <c r="W6" s="124">
        <v>0.69499999999999995</v>
      </c>
      <c r="X6" s="123">
        <f>U6/B6</f>
        <v>9.0899218158099266</v>
      </c>
      <c r="Y6" s="124">
        <f>V6*W6</f>
        <v>0.29607</v>
      </c>
      <c r="Z6" s="124" t="s">
        <v>301</v>
      </c>
      <c r="AA6" s="116" t="s">
        <v>308</v>
      </c>
    </row>
    <row r="7" spans="1:27" s="116" customFormat="1" ht="26" customHeight="1" x14ac:dyDescent="0.2">
      <c r="A7" s="121" t="s">
        <v>321</v>
      </c>
      <c r="B7" s="116">
        <v>0.61199999999999999</v>
      </c>
      <c r="E7" s="116">
        <v>21</v>
      </c>
      <c r="F7" s="116">
        <v>3069</v>
      </c>
      <c r="G7" s="127">
        <v>1E-8</v>
      </c>
      <c r="H7" s="123">
        <f>D7/B7</f>
        <v>0</v>
      </c>
      <c r="I7" s="123">
        <f>F7*B7/600</f>
        <v>3.1303800000000002</v>
      </c>
      <c r="J7" s="126">
        <v>384</v>
      </c>
      <c r="K7" s="117">
        <v>10000</v>
      </c>
      <c r="L7" s="116">
        <v>12</v>
      </c>
      <c r="M7" s="116">
        <v>21</v>
      </c>
      <c r="N7" s="116" t="s">
        <v>31</v>
      </c>
      <c r="O7" s="116">
        <v>0.46400000000000002</v>
      </c>
      <c r="P7" s="116">
        <v>4.6949999999999999E-2</v>
      </c>
      <c r="Q7" s="116">
        <v>9.3600000000000003E-2</v>
      </c>
      <c r="R7" s="122" t="e">
        <f>E7/C7</f>
        <v>#DIV/0!</v>
      </c>
      <c r="S7" s="117">
        <f>0.000018/B7</f>
        <v>2.9411764705882354E-5</v>
      </c>
      <c r="T7" s="117">
        <f>600/S7</f>
        <v>20400000</v>
      </c>
      <c r="U7" s="124">
        <f>1/22*(9.81*L7*K7)^(1/3)</f>
        <v>4.7994787187476415</v>
      </c>
      <c r="V7" s="124">
        <f>22^2 * (9.81 / L7^2 / K7^2) ^ (1/3)</f>
        <v>0.42587374497687464</v>
      </c>
      <c r="W7" s="124">
        <f>4*SQRT(0.000000167 * L7^2 * K7 / 9.81)</f>
        <v>0.62627484660190413</v>
      </c>
      <c r="X7" s="123">
        <f>U7/B7</f>
        <v>7.8422854881497415</v>
      </c>
      <c r="Y7" s="124">
        <f>V7*W7</f>
        <v>0.26671401430717062</v>
      </c>
      <c r="Z7" s="124" t="s">
        <v>300</v>
      </c>
      <c r="AA7" s="116" t="s">
        <v>199</v>
      </c>
    </row>
    <row r="8" spans="1:27" s="116" customFormat="1" ht="26" customHeight="1" x14ac:dyDescent="0.2">
      <c r="A8" s="121" t="s">
        <v>271</v>
      </c>
      <c r="B8" s="116">
        <v>0.52500000000000002</v>
      </c>
      <c r="E8" s="116">
        <v>21</v>
      </c>
      <c r="F8" s="116">
        <v>3320</v>
      </c>
      <c r="G8" s="127">
        <v>1E-8</v>
      </c>
      <c r="H8" s="123">
        <f t="shared" si="0"/>
        <v>0</v>
      </c>
      <c r="I8" s="123">
        <f t="shared" si="1"/>
        <v>2.9049999999999998</v>
      </c>
      <c r="J8" s="126">
        <v>384</v>
      </c>
      <c r="K8" s="117">
        <v>10000</v>
      </c>
      <c r="L8" s="116">
        <v>12</v>
      </c>
      <c r="M8" s="116">
        <v>21</v>
      </c>
      <c r="N8" s="116" t="s">
        <v>31</v>
      </c>
      <c r="O8" s="116">
        <v>0.46400000000000002</v>
      </c>
      <c r="P8" s="116">
        <v>0.53410999999999997</v>
      </c>
      <c r="Q8" s="116">
        <v>1.0630500000000001</v>
      </c>
      <c r="R8" s="122" t="e">
        <f t="shared" si="2"/>
        <v>#DIV/0!</v>
      </c>
      <c r="S8" s="117">
        <f t="shared" si="3"/>
        <v>3.4285714285714284E-5</v>
      </c>
      <c r="T8" s="117">
        <f t="shared" si="8"/>
        <v>17500000</v>
      </c>
      <c r="U8" s="124">
        <f t="shared" si="4"/>
        <v>4.7994787187476415</v>
      </c>
      <c r="V8" s="124">
        <f t="shared" si="5"/>
        <v>0.42587374497687464</v>
      </c>
      <c r="W8" s="124">
        <f t="shared" si="6"/>
        <v>0.62627484660190413</v>
      </c>
      <c r="X8" s="123">
        <f t="shared" si="7"/>
        <v>9.1418642261859837</v>
      </c>
      <c r="Y8" s="124">
        <f t="shared" si="9"/>
        <v>0.26671401430717062</v>
      </c>
      <c r="Z8" s="124" t="s">
        <v>300</v>
      </c>
    </row>
    <row r="9" spans="1:27" s="116" customFormat="1" ht="26" customHeight="1" x14ac:dyDescent="0.2">
      <c r="A9" s="121" t="s">
        <v>295</v>
      </c>
      <c r="B9" s="116">
        <v>0.67100000000000004</v>
      </c>
      <c r="C9" s="116">
        <v>11.622999999999999</v>
      </c>
      <c r="D9" s="116">
        <v>19.184000000000001</v>
      </c>
      <c r="E9" s="116">
        <v>21</v>
      </c>
      <c r="F9" s="116">
        <v>2666</v>
      </c>
      <c r="G9" s="127">
        <v>8.3599999999999994E-3</v>
      </c>
      <c r="H9" s="123">
        <f t="shared" si="0"/>
        <v>28.590163934426229</v>
      </c>
      <c r="I9" s="123">
        <f t="shared" si="1"/>
        <v>2.981476666666667</v>
      </c>
      <c r="J9" s="126">
        <v>384</v>
      </c>
      <c r="K9" s="117">
        <v>50000</v>
      </c>
      <c r="L9" s="116">
        <v>12</v>
      </c>
      <c r="M9" s="116">
        <v>21</v>
      </c>
      <c r="N9" s="116" t="s">
        <v>31</v>
      </c>
      <c r="O9" s="116">
        <v>0.46400000000000002</v>
      </c>
      <c r="P9" s="116">
        <v>0.44818999999999998</v>
      </c>
      <c r="Q9" s="116">
        <v>0.89644000000000001</v>
      </c>
      <c r="R9" s="122">
        <f t="shared" si="2"/>
        <v>1.8067624537554849</v>
      </c>
      <c r="S9" s="117">
        <f t="shared" si="3"/>
        <v>2.6825633383010433E-5</v>
      </c>
      <c r="T9" s="117">
        <f t="shared" si="8"/>
        <v>22366666.666666668</v>
      </c>
      <c r="U9" s="124">
        <f t="shared" si="4"/>
        <v>8.2069931656451622</v>
      </c>
      <c r="V9" s="124">
        <f t="shared" si="5"/>
        <v>0.14564677204631618</v>
      </c>
      <c r="W9" s="124">
        <f>4*SQRT(0.000000167 * L9^2 * K9 / 9.81)</f>
        <v>1.4003931296001109</v>
      </c>
      <c r="X9" s="123">
        <f t="shared" si="7"/>
        <v>12.230988324359407</v>
      </c>
      <c r="Y9" s="124">
        <f t="shared" si="9"/>
        <v>0.20396273892209466</v>
      </c>
      <c r="Z9" s="124" t="s">
        <v>300</v>
      </c>
      <c r="AA9" s="116" t="s">
        <v>234</v>
      </c>
    </row>
    <row r="10" spans="1:27" s="116" customFormat="1" ht="26" customHeight="1" x14ac:dyDescent="0.2">
      <c r="A10" s="121" t="s">
        <v>298</v>
      </c>
      <c r="B10" s="116">
        <v>0.67800000000000005</v>
      </c>
      <c r="C10" s="116">
        <v>11.824999999999999</v>
      </c>
      <c r="D10" s="116">
        <v>19.282</v>
      </c>
      <c r="E10" s="116">
        <v>21</v>
      </c>
      <c r="F10" s="116">
        <v>2519</v>
      </c>
      <c r="G10" s="127">
        <v>8.2400000000000008E-3</v>
      </c>
      <c r="H10" s="123">
        <f>D10/B10</f>
        <v>28.439528023598818</v>
      </c>
      <c r="I10" s="123">
        <f>F10*B10/600</f>
        <v>2.8464700000000001</v>
      </c>
      <c r="J10" s="126">
        <v>384</v>
      </c>
      <c r="K10" s="117">
        <v>50000</v>
      </c>
      <c r="L10" s="116">
        <v>12</v>
      </c>
      <c r="M10" s="116">
        <v>21</v>
      </c>
      <c r="N10" s="116" t="s">
        <v>31</v>
      </c>
      <c r="O10" s="116">
        <v>0.46400000000000002</v>
      </c>
      <c r="P10" s="116">
        <v>0.15454000000000001</v>
      </c>
      <c r="Q10" s="116">
        <v>0.25331999999999999</v>
      </c>
      <c r="R10" s="122">
        <f>E10/C10</f>
        <v>1.7758985200845667</v>
      </c>
      <c r="S10" s="117">
        <f>0.000018/B10</f>
        <v>2.6548672566371679E-5</v>
      </c>
      <c r="T10" s="117">
        <f>600/S10</f>
        <v>22600000.000000004</v>
      </c>
      <c r="U10" s="124">
        <f>1/22*(9.81*L10*K10)^(1/3)</f>
        <v>8.2069931656451622</v>
      </c>
      <c r="V10" s="124">
        <f>22^2 * (9.81 / L10^2 / K10^2) ^ (1/3)</f>
        <v>0.14564677204631618</v>
      </c>
      <c r="W10" s="124">
        <f>4*SQRT(0.000000167 * L10^2 * K10 / 9.81)</f>
        <v>1.4003931296001109</v>
      </c>
      <c r="X10" s="123">
        <f>U10/B10</f>
        <v>12.104709683842421</v>
      </c>
      <c r="Y10" s="124">
        <f>V10*W10</f>
        <v>0.20396273892209466</v>
      </c>
      <c r="Z10" s="124" t="s">
        <v>301</v>
      </c>
    </row>
    <row r="11" spans="1:27" s="116" customFormat="1" ht="26" customHeight="1" x14ac:dyDescent="0.2">
      <c r="A11" s="121" t="s">
        <v>310</v>
      </c>
      <c r="B11" s="116">
        <v>0.70299999999999996</v>
      </c>
      <c r="E11" s="116">
        <v>21</v>
      </c>
      <c r="F11" s="116">
        <v>2560</v>
      </c>
      <c r="G11" s="127">
        <v>6.5320000000000003E-2</v>
      </c>
      <c r="H11" s="123">
        <f>D11/B11</f>
        <v>0</v>
      </c>
      <c r="I11" s="123">
        <f>F11*B11/600</f>
        <v>2.9994666666666663</v>
      </c>
      <c r="J11" s="126">
        <v>384</v>
      </c>
      <c r="K11" s="117">
        <v>50000</v>
      </c>
      <c r="L11" s="116">
        <v>12</v>
      </c>
      <c r="M11" s="116">
        <v>21</v>
      </c>
      <c r="N11" s="116" t="s">
        <v>31</v>
      </c>
      <c r="O11" s="116">
        <v>0.46400000000000002</v>
      </c>
      <c r="P11" s="116">
        <v>0.15454000000000001</v>
      </c>
      <c r="Q11" s="116">
        <v>0.25331999999999999</v>
      </c>
      <c r="R11" s="122" t="e">
        <f>E11/C11</f>
        <v>#DIV/0!</v>
      </c>
      <c r="S11" s="117">
        <f>0.000018/B11</f>
        <v>2.5604551920341397E-5</v>
      </c>
      <c r="T11" s="117">
        <f>600/S11</f>
        <v>23433333.333333332</v>
      </c>
      <c r="U11" s="124">
        <f>1/22*(9.81*L11*K11)^(1/3)</f>
        <v>8.2069931656451622</v>
      </c>
      <c r="V11" s="124">
        <f>22^2 * (9.81 / L11^2 / K11^2) ^ (1/3)</f>
        <v>0.14564677204631618</v>
      </c>
      <c r="W11" s="124">
        <f>4*SQRT(0.000000167 * L11^2 * K11 / 9.81)</f>
        <v>1.4003931296001109</v>
      </c>
      <c r="X11" s="123">
        <f>U11/B11</f>
        <v>11.674243478869364</v>
      </c>
      <c r="Y11" s="124">
        <f>V11*W11</f>
        <v>0.20396273892209466</v>
      </c>
      <c r="Z11" s="124" t="s">
        <v>301</v>
      </c>
      <c r="AA11" s="116" t="s">
        <v>311</v>
      </c>
    </row>
    <row r="12" spans="1:27" s="116" customFormat="1" ht="26" customHeight="1" x14ac:dyDescent="0.2">
      <c r="A12" s="121" t="s">
        <v>307</v>
      </c>
      <c r="B12" s="116">
        <v>0.71299999999999997</v>
      </c>
      <c r="C12" s="116">
        <v>11.326000000000001</v>
      </c>
      <c r="E12" s="116">
        <v>21</v>
      </c>
      <c r="F12" s="116">
        <v>2601</v>
      </c>
      <c r="G12" s="127">
        <v>1.52E-2</v>
      </c>
      <c r="H12" s="123">
        <f>D12/B12</f>
        <v>0</v>
      </c>
      <c r="I12" s="123">
        <f>F12*B12/600</f>
        <v>3.0908549999999999</v>
      </c>
      <c r="J12" s="126">
        <v>384</v>
      </c>
      <c r="K12" s="117">
        <v>50000</v>
      </c>
      <c r="L12" s="116">
        <v>12</v>
      </c>
      <c r="M12" s="116">
        <v>21</v>
      </c>
      <c r="N12" s="116" t="s">
        <v>31</v>
      </c>
      <c r="O12" s="116">
        <v>0.46400000000000002</v>
      </c>
      <c r="P12" s="116">
        <v>0.44818999999999998</v>
      </c>
      <c r="Q12" s="116">
        <v>0.89644000000000001</v>
      </c>
      <c r="R12" s="122">
        <f>E12/C12</f>
        <v>1.8541409147095178</v>
      </c>
      <c r="S12" s="117">
        <f>0.000018/B12</f>
        <v>2.5245441795231417E-5</v>
      </c>
      <c r="T12" s="117">
        <f>600/S12</f>
        <v>23766666.666666668</v>
      </c>
      <c r="U12" s="124">
        <f>1/22*(9.81*L12*K12)^(1/3)</f>
        <v>8.2069931656451622</v>
      </c>
      <c r="V12" s="124">
        <f>22^2 * (9.81 / L12^2 / K12^2) ^ (1/3)</f>
        <v>0.14564677204631618</v>
      </c>
      <c r="W12" s="124">
        <v>1.708</v>
      </c>
      <c r="X12" s="123">
        <f>U12/B12</f>
        <v>11.510509348730944</v>
      </c>
      <c r="Y12" s="124">
        <f>V12*W12</f>
        <v>0.24876468665510804</v>
      </c>
      <c r="Z12" s="124" t="s">
        <v>301</v>
      </c>
      <c r="AA12" s="116" t="s">
        <v>309</v>
      </c>
    </row>
    <row r="13" spans="1:27" s="116" customFormat="1" ht="26" customHeight="1" x14ac:dyDescent="0.2">
      <c r="A13" s="121" t="s">
        <v>272</v>
      </c>
      <c r="B13" s="116">
        <v>0.68600000000000005</v>
      </c>
      <c r="E13" s="116">
        <v>21</v>
      </c>
      <c r="F13" s="116">
        <v>2701</v>
      </c>
      <c r="G13" s="127">
        <v>8.6999999999999994E-3</v>
      </c>
      <c r="H13" s="123">
        <f t="shared" si="0"/>
        <v>0</v>
      </c>
      <c r="I13" s="123">
        <f t="shared" si="1"/>
        <v>3.0881433333333335</v>
      </c>
      <c r="J13" s="126">
        <v>384</v>
      </c>
      <c r="K13" s="117">
        <v>50000</v>
      </c>
      <c r="L13" s="116">
        <v>12</v>
      </c>
      <c r="M13" s="116">
        <v>21</v>
      </c>
      <c r="N13" s="116" t="s">
        <v>31</v>
      </c>
      <c r="O13" s="116">
        <v>0.46400000000000002</v>
      </c>
      <c r="P13" s="116">
        <v>0.44818999999999998</v>
      </c>
      <c r="Q13" s="116">
        <v>0.89644000000000001</v>
      </c>
      <c r="R13" s="122" t="e">
        <f t="shared" si="2"/>
        <v>#DIV/0!</v>
      </c>
      <c r="S13" s="117">
        <f t="shared" si="3"/>
        <v>2.6239067055393584E-5</v>
      </c>
      <c r="T13" s="117">
        <f t="shared" si="8"/>
        <v>22866666.666666668</v>
      </c>
      <c r="U13" s="124">
        <f t="shared" si="4"/>
        <v>8.2069931656451622</v>
      </c>
      <c r="V13" s="124">
        <f t="shared" si="5"/>
        <v>0.14564677204631618</v>
      </c>
      <c r="W13" s="124">
        <f t="shared" si="6"/>
        <v>1.4003931296001109</v>
      </c>
      <c r="X13" s="123">
        <f t="shared" si="7"/>
        <v>11.963546888695571</v>
      </c>
      <c r="Y13" s="124">
        <f t="shared" si="9"/>
        <v>0.20396273892209466</v>
      </c>
      <c r="Z13" s="124" t="s">
        <v>300</v>
      </c>
    </row>
    <row r="14" spans="1:27" s="116" customFormat="1" ht="26" customHeight="1" x14ac:dyDescent="0.2">
      <c r="A14" s="121" t="s">
        <v>294</v>
      </c>
      <c r="B14" s="116">
        <v>0.66400000000000003</v>
      </c>
      <c r="C14" s="116">
        <v>11.635999999999999</v>
      </c>
      <c r="D14" s="116">
        <v>19.186</v>
      </c>
      <c r="E14" s="116">
        <v>21</v>
      </c>
      <c r="F14" s="116">
        <v>2609</v>
      </c>
      <c r="G14" s="127">
        <v>8.7399999999999995E-3</v>
      </c>
      <c r="H14" s="123">
        <f t="shared" si="0"/>
        <v>28.89457831325301</v>
      </c>
      <c r="I14" s="123">
        <f t="shared" si="1"/>
        <v>2.8872933333333335</v>
      </c>
      <c r="J14" s="126">
        <v>384</v>
      </c>
      <c r="K14" s="117">
        <v>100000</v>
      </c>
      <c r="L14" s="116">
        <v>12</v>
      </c>
      <c r="M14" s="116">
        <v>21</v>
      </c>
      <c r="N14" s="116" t="s">
        <v>31</v>
      </c>
      <c r="O14" s="116">
        <v>0.46400000000000002</v>
      </c>
      <c r="P14" s="116">
        <v>0.41533999999999999</v>
      </c>
      <c r="Q14" s="116">
        <v>0.83106999999999998</v>
      </c>
      <c r="R14" s="122">
        <f t="shared" si="2"/>
        <v>1.8047438982468202</v>
      </c>
      <c r="S14" s="117">
        <f t="shared" si="3"/>
        <v>2.7108433734939758E-5</v>
      </c>
      <c r="T14" s="117">
        <f t="shared" si="8"/>
        <v>22133333.333333336</v>
      </c>
      <c r="U14" s="124">
        <f t="shared" si="4"/>
        <v>10.340163445739709</v>
      </c>
      <c r="V14" s="124">
        <f t="shared" si="5"/>
        <v>9.1751716975197017E-2</v>
      </c>
      <c r="W14" s="124">
        <f t="shared" si="6"/>
        <v>1.9804549565345801</v>
      </c>
      <c r="X14" s="123">
        <f t="shared" si="7"/>
        <v>15.572535309848957</v>
      </c>
      <c r="Y14" s="124">
        <f t="shared" si="9"/>
        <v>0.18171014265408691</v>
      </c>
      <c r="Z14" s="124" t="s">
        <v>300</v>
      </c>
      <c r="AA14" s="116" t="s">
        <v>236</v>
      </c>
    </row>
    <row r="15" spans="1:27" s="116" customFormat="1" ht="26" customHeight="1" x14ac:dyDescent="0.2">
      <c r="A15" s="121" t="s">
        <v>273</v>
      </c>
      <c r="B15" s="116">
        <v>0.67100000000000004</v>
      </c>
      <c r="E15" s="116">
        <v>21</v>
      </c>
      <c r="F15" s="116">
        <v>2605</v>
      </c>
      <c r="G15" s="127">
        <v>8.8800000000000007E-3</v>
      </c>
      <c r="H15" s="123">
        <f t="shared" si="0"/>
        <v>0</v>
      </c>
      <c r="I15" s="123">
        <f t="shared" si="1"/>
        <v>2.9132583333333337</v>
      </c>
      <c r="J15" s="126">
        <v>384</v>
      </c>
      <c r="K15" s="117">
        <v>100000</v>
      </c>
      <c r="L15" s="116">
        <v>12</v>
      </c>
      <c r="M15" s="116">
        <v>21</v>
      </c>
      <c r="N15" s="116" t="s">
        <v>31</v>
      </c>
      <c r="O15" s="116">
        <v>0.46400000000000002</v>
      </c>
      <c r="P15" s="116">
        <v>0.41533999999999999</v>
      </c>
      <c r="Q15" s="116">
        <v>0.83106999999999998</v>
      </c>
      <c r="R15" s="122" t="e">
        <f t="shared" si="2"/>
        <v>#DIV/0!</v>
      </c>
      <c r="S15" s="117">
        <f t="shared" si="3"/>
        <v>2.6825633383010433E-5</v>
      </c>
      <c r="T15" s="117">
        <f t="shared" si="8"/>
        <v>22366666.666666668</v>
      </c>
      <c r="U15" s="124">
        <f t="shared" si="4"/>
        <v>10.340163445739709</v>
      </c>
      <c r="V15" s="124">
        <f t="shared" si="5"/>
        <v>9.1751716975197017E-2</v>
      </c>
      <c r="W15" s="124">
        <f t="shared" si="6"/>
        <v>1.9804549565345801</v>
      </c>
      <c r="X15" s="123">
        <f t="shared" si="7"/>
        <v>15.410079650878849</v>
      </c>
      <c r="Y15" s="124">
        <f t="shared" si="9"/>
        <v>0.18171014265408691</v>
      </c>
      <c r="Z15" s="124" t="s">
        <v>300</v>
      </c>
    </row>
    <row r="16" spans="1:27" ht="26" customHeight="1" x14ac:dyDescent="0.2">
      <c r="A16" s="121" t="s">
        <v>275</v>
      </c>
      <c r="B16" s="116">
        <v>0.60399999999999998</v>
      </c>
      <c r="C16" s="116">
        <v>12.955</v>
      </c>
      <c r="D16" s="116">
        <v>19.405000000000001</v>
      </c>
      <c r="E16" s="116">
        <v>21</v>
      </c>
      <c r="F16" s="116">
        <v>2918</v>
      </c>
      <c r="G16" s="127">
        <v>1E-8</v>
      </c>
      <c r="H16" s="123">
        <f t="shared" si="0"/>
        <v>32.127483443708613</v>
      </c>
      <c r="I16" s="123">
        <f t="shared" si="1"/>
        <v>2.9374533333333335</v>
      </c>
      <c r="J16" s="126">
        <v>384</v>
      </c>
      <c r="K16" s="117">
        <v>50000</v>
      </c>
      <c r="L16" s="116">
        <v>12</v>
      </c>
      <c r="M16" s="116">
        <v>21</v>
      </c>
      <c r="N16" s="116" t="s">
        <v>31</v>
      </c>
      <c r="O16" s="116">
        <v>0.46400000000000002</v>
      </c>
      <c r="P16" s="116">
        <v>0.44818999999999998</v>
      </c>
      <c r="Q16" s="116">
        <v>0.89644000000000001</v>
      </c>
      <c r="R16" s="122">
        <f t="shared" si="2"/>
        <v>1.6209957545349285</v>
      </c>
      <c r="S16" s="117">
        <f t="shared" si="3"/>
        <v>2.9801324503311261E-5</v>
      </c>
      <c r="T16" s="117">
        <f t="shared" si="8"/>
        <v>20133333.333333332</v>
      </c>
      <c r="U16" s="124">
        <f t="shared" si="4"/>
        <v>8.2069931656451622</v>
      </c>
      <c r="V16" s="124">
        <f t="shared" si="5"/>
        <v>0.14564677204631618</v>
      </c>
      <c r="W16" s="124">
        <f t="shared" si="6"/>
        <v>1.4003931296001109</v>
      </c>
      <c r="X16" s="123">
        <f t="shared" si="7"/>
        <v>13.587737029213844</v>
      </c>
      <c r="Y16" s="124">
        <f t="shared" si="9"/>
        <v>0.20396273892209466</v>
      </c>
      <c r="Z16" s="124" t="s">
        <v>300</v>
      </c>
      <c r="AA16" t="s">
        <v>280</v>
      </c>
    </row>
    <row r="17" spans="1:27" ht="26" customHeight="1" x14ac:dyDescent="0.2">
      <c r="A17" s="121" t="s">
        <v>277</v>
      </c>
      <c r="B17" s="116">
        <v>0.58699999999999997</v>
      </c>
      <c r="C17" s="116">
        <v>12.631</v>
      </c>
      <c r="D17" s="116">
        <v>19.271000000000001</v>
      </c>
      <c r="E17" s="116">
        <v>21</v>
      </c>
      <c r="F17" s="116">
        <v>3229</v>
      </c>
      <c r="G17" s="127">
        <v>1E-8</v>
      </c>
      <c r="H17" s="123">
        <f t="shared" si="0"/>
        <v>32.829642248722323</v>
      </c>
      <c r="I17" s="123">
        <f t="shared" si="1"/>
        <v>3.1590383333333332</v>
      </c>
      <c r="J17" s="126">
        <v>384</v>
      </c>
      <c r="K17" s="117">
        <v>100000</v>
      </c>
      <c r="L17" s="116">
        <v>12</v>
      </c>
      <c r="M17" s="116">
        <v>21</v>
      </c>
      <c r="N17" s="116" t="s">
        <v>31</v>
      </c>
      <c r="O17" s="116">
        <v>0.46400000000000002</v>
      </c>
      <c r="P17" s="116">
        <v>0.41533999999999999</v>
      </c>
      <c r="Q17" s="116">
        <v>0.83106999999999998</v>
      </c>
      <c r="R17" s="122">
        <f t="shared" si="2"/>
        <v>1.6625762014092311</v>
      </c>
      <c r="S17" s="117">
        <f t="shared" si="3"/>
        <v>3.0664395229982968E-5</v>
      </c>
      <c r="T17" s="117">
        <f t="shared" si="8"/>
        <v>19566666.666666664</v>
      </c>
      <c r="U17" s="124">
        <f t="shared" si="4"/>
        <v>10.340163445739709</v>
      </c>
      <c r="V17" s="124">
        <f t="shared" si="5"/>
        <v>9.1751716975197017E-2</v>
      </c>
      <c r="W17" s="124">
        <f t="shared" si="6"/>
        <v>1.9804549565345801</v>
      </c>
      <c r="X17" s="123">
        <f t="shared" si="7"/>
        <v>17.615269924599165</v>
      </c>
      <c r="Y17" s="124">
        <f t="shared" si="9"/>
        <v>0.18171014265408691</v>
      </c>
      <c r="Z17" s="124" t="s">
        <v>300</v>
      </c>
      <c r="AA17" t="s">
        <v>281</v>
      </c>
    </row>
    <row r="18" spans="1:27" ht="26" customHeight="1" x14ac:dyDescent="0.2">
      <c r="A18" s="121" t="s">
        <v>278</v>
      </c>
      <c r="B18" s="116">
        <v>0.70499999999999996</v>
      </c>
      <c r="C18" s="116">
        <v>11.837999999999999</v>
      </c>
      <c r="D18" s="116">
        <v>19.256</v>
      </c>
      <c r="E18" s="116">
        <v>21</v>
      </c>
      <c r="F18" s="116">
        <v>2546</v>
      </c>
      <c r="G18" s="127">
        <v>1.06E-2</v>
      </c>
      <c r="H18" s="123">
        <f t="shared" si="0"/>
        <v>27.313475177304966</v>
      </c>
      <c r="I18" s="123">
        <f t="shared" si="1"/>
        <v>2.9915499999999997</v>
      </c>
      <c r="J18" s="126">
        <v>600</v>
      </c>
      <c r="K18" s="117">
        <v>10000</v>
      </c>
      <c r="L18" s="116">
        <v>12</v>
      </c>
      <c r="M18" s="116">
        <v>21</v>
      </c>
      <c r="N18" s="116" t="s">
        <v>31</v>
      </c>
      <c r="O18" s="116">
        <v>0.46400000000000002</v>
      </c>
      <c r="P18" s="116">
        <v>0.53410999999999997</v>
      </c>
      <c r="Q18" s="116">
        <v>1.0630500000000001</v>
      </c>
      <c r="R18" s="122">
        <f t="shared" si="2"/>
        <v>1.7739483020780538</v>
      </c>
      <c r="S18" s="117">
        <f t="shared" si="3"/>
        <v>2.5531914893617022E-5</v>
      </c>
      <c r="T18" s="117">
        <f t="shared" si="8"/>
        <v>23500000</v>
      </c>
      <c r="U18" s="124">
        <f t="shared" si="4"/>
        <v>4.7994787187476415</v>
      </c>
      <c r="V18" s="124">
        <f t="shared" si="5"/>
        <v>0.42587374497687464</v>
      </c>
      <c r="W18" s="124">
        <f t="shared" si="6"/>
        <v>0.62627484660190413</v>
      </c>
      <c r="X18" s="123">
        <f t="shared" si="7"/>
        <v>6.807771232266159</v>
      </c>
      <c r="Y18" s="124">
        <f t="shared" si="9"/>
        <v>0.26671401430717062</v>
      </c>
      <c r="Z18" s="124" t="s">
        <v>300</v>
      </c>
      <c r="AA18" t="s">
        <v>282</v>
      </c>
    </row>
    <row r="19" spans="1:27" ht="26" customHeight="1" x14ac:dyDescent="0.2">
      <c r="A19" s="121" t="s">
        <v>279</v>
      </c>
      <c r="B19" s="116">
        <v>0.53700000000000003</v>
      </c>
      <c r="C19" s="116">
        <v>15.561999999999999</v>
      </c>
      <c r="D19" s="116">
        <v>19.922999999999998</v>
      </c>
      <c r="E19" s="116">
        <v>21</v>
      </c>
      <c r="F19" s="116">
        <v>2169</v>
      </c>
      <c r="G19" s="127">
        <v>1.5500000000000001E-5</v>
      </c>
      <c r="H19" s="123">
        <f t="shared" si="0"/>
        <v>37.100558659217874</v>
      </c>
      <c r="I19" s="123">
        <f t="shared" si="1"/>
        <v>1.9412550000000002</v>
      </c>
      <c r="J19" s="126">
        <v>150</v>
      </c>
      <c r="K19" s="117">
        <v>10000</v>
      </c>
      <c r="L19" s="116">
        <v>12</v>
      </c>
      <c r="M19" s="116">
        <v>21</v>
      </c>
      <c r="N19" s="116" t="s">
        <v>31</v>
      </c>
      <c r="O19" s="116">
        <v>0.46400000000000002</v>
      </c>
      <c r="P19" s="116">
        <v>0.53410999999999997</v>
      </c>
      <c r="Q19" s="116">
        <v>1.0630500000000001</v>
      </c>
      <c r="R19" s="122">
        <f t="shared" si="2"/>
        <v>1.3494409458938441</v>
      </c>
      <c r="S19" s="117">
        <f t="shared" si="3"/>
        <v>3.3519553072625697E-5</v>
      </c>
      <c r="T19" s="117">
        <f t="shared" si="8"/>
        <v>17900000</v>
      </c>
      <c r="U19" s="124">
        <f t="shared" si="4"/>
        <v>4.7994787187476415</v>
      </c>
      <c r="V19" s="124">
        <f t="shared" si="5"/>
        <v>0.42587374497687464</v>
      </c>
      <c r="W19" s="124">
        <f t="shared" si="6"/>
        <v>0.62627484660190413</v>
      </c>
      <c r="X19" s="123">
        <f t="shared" si="7"/>
        <v>8.9375767574443969</v>
      </c>
      <c r="Y19" s="124">
        <f t="shared" si="9"/>
        <v>0.26671401430717062</v>
      </c>
      <c r="Z19" s="124" t="s">
        <v>300</v>
      </c>
      <c r="AA19" t="s">
        <v>283</v>
      </c>
    </row>
    <row r="20" spans="1:27" ht="26" customHeight="1" x14ac:dyDescent="0.2">
      <c r="A20" s="121" t="s">
        <v>315</v>
      </c>
      <c r="B20" s="116">
        <v>0.73399999999999999</v>
      </c>
      <c r="C20" s="116">
        <v>10.981</v>
      </c>
      <c r="D20" s="116">
        <v>19.003</v>
      </c>
      <c r="E20" s="116">
        <v>21</v>
      </c>
      <c r="F20" s="116">
        <v>2709</v>
      </c>
      <c r="G20" s="127">
        <v>3.023E-2</v>
      </c>
      <c r="H20" s="123">
        <f t="shared" si="0"/>
        <v>25.889645776566759</v>
      </c>
      <c r="I20" s="123">
        <f t="shared" si="1"/>
        <v>3.3140100000000001</v>
      </c>
      <c r="J20" s="126">
        <v>750</v>
      </c>
      <c r="K20" s="117">
        <v>50000</v>
      </c>
      <c r="L20" s="116">
        <v>12</v>
      </c>
      <c r="M20" s="116">
        <v>21</v>
      </c>
      <c r="N20" s="116" t="s">
        <v>31</v>
      </c>
      <c r="O20" s="116">
        <v>0.46400000000000002</v>
      </c>
      <c r="P20" s="116">
        <v>9.4219999999999998E-2</v>
      </c>
      <c r="Q20" s="116">
        <v>0.15742999999999999</v>
      </c>
      <c r="R20" s="122">
        <f t="shared" si="2"/>
        <v>1.9123941353246516</v>
      </c>
      <c r="S20" s="117">
        <f t="shared" si="3"/>
        <v>2.4523160762942779E-5</v>
      </c>
      <c r="T20" s="117">
        <f t="shared" si="8"/>
        <v>24466666.666666668</v>
      </c>
      <c r="U20" s="124">
        <f t="shared" si="4"/>
        <v>8.2069931656451622</v>
      </c>
      <c r="V20" s="124">
        <f t="shared" si="5"/>
        <v>0.14564677204631618</v>
      </c>
      <c r="W20" s="124">
        <f t="shared" si="6"/>
        <v>1.4003931296001109</v>
      </c>
      <c r="X20" s="123">
        <f t="shared" si="7"/>
        <v>11.181189598971612</v>
      </c>
      <c r="Y20" s="124">
        <f t="shared" si="9"/>
        <v>0.20396273892209466</v>
      </c>
      <c r="Z20" s="124" t="s">
        <v>301</v>
      </c>
      <c r="AA20" t="s">
        <v>305</v>
      </c>
    </row>
    <row r="21" spans="1:27" ht="26" customHeight="1" x14ac:dyDescent="0.2">
      <c r="A21" s="121" t="s">
        <v>314</v>
      </c>
      <c r="B21" s="116">
        <v>0.57199999999999995</v>
      </c>
      <c r="C21" s="116">
        <v>14.127000000000001</v>
      </c>
      <c r="D21" s="116">
        <v>19.670999999999999</v>
      </c>
      <c r="E21" s="116">
        <v>21</v>
      </c>
      <c r="F21" s="116">
        <v>2524</v>
      </c>
      <c r="G21" s="127">
        <v>4.1980000000000001E-4</v>
      </c>
      <c r="H21" s="123">
        <f t="shared" si="0"/>
        <v>34.38986013986014</v>
      </c>
      <c r="I21" s="123">
        <f t="shared" si="1"/>
        <v>2.4062133333333331</v>
      </c>
      <c r="J21" s="126">
        <v>200</v>
      </c>
      <c r="K21" s="117">
        <v>50000</v>
      </c>
      <c r="L21" s="116">
        <v>12</v>
      </c>
      <c r="M21" s="116">
        <v>21</v>
      </c>
      <c r="N21" s="116" t="s">
        <v>31</v>
      </c>
      <c r="O21" s="116">
        <v>0.46400000000000002</v>
      </c>
      <c r="P21" s="116">
        <v>0.24661</v>
      </c>
      <c r="Q21" s="116">
        <v>0.37903999999999999</v>
      </c>
      <c r="R21" s="122">
        <f t="shared" si="2"/>
        <v>1.4865151836908048</v>
      </c>
      <c r="S21" s="117">
        <f t="shared" si="3"/>
        <v>3.1468531468531474E-5</v>
      </c>
      <c r="T21" s="117">
        <f t="shared" si="8"/>
        <v>19066666.666666664</v>
      </c>
      <c r="U21" s="124">
        <f t="shared" si="4"/>
        <v>8.2069931656451622</v>
      </c>
      <c r="V21" s="124">
        <f t="shared" si="5"/>
        <v>0.14564677204631618</v>
      </c>
      <c r="W21" s="124">
        <f t="shared" si="6"/>
        <v>1.4003931296001109</v>
      </c>
      <c r="X21" s="123">
        <f t="shared" si="7"/>
        <v>14.347890149729306</v>
      </c>
      <c r="Y21" s="124">
        <f t="shared" si="9"/>
        <v>0.20396273892209466</v>
      </c>
      <c r="Z21" s="124" t="s">
        <v>301</v>
      </c>
      <c r="AA21" t="s">
        <v>304</v>
      </c>
    </row>
    <row r="22" spans="1:27" ht="26" customHeight="1" x14ac:dyDescent="0.2">
      <c r="A22" s="121" t="s">
        <v>302</v>
      </c>
      <c r="B22" s="116">
        <v>0.70299999999999996</v>
      </c>
      <c r="C22" s="116">
        <v>11.195</v>
      </c>
      <c r="D22" s="116">
        <v>19.5</v>
      </c>
      <c r="E22" s="116">
        <v>21</v>
      </c>
      <c r="F22" s="116">
        <v>2557</v>
      </c>
      <c r="G22" s="127">
        <v>1.806E-2</v>
      </c>
      <c r="H22" s="123">
        <f t="shared" ref="H22:H29" si="10">D22/B22</f>
        <v>27.738264580369844</v>
      </c>
      <c r="I22" s="123">
        <f t="shared" si="1"/>
        <v>2.9959516666666666</v>
      </c>
      <c r="J22" s="126">
        <v>750</v>
      </c>
      <c r="K22" s="117">
        <v>50000</v>
      </c>
      <c r="L22" s="116">
        <v>12</v>
      </c>
      <c r="M22" s="116">
        <v>21</v>
      </c>
      <c r="N22" s="116" t="s">
        <v>31</v>
      </c>
      <c r="O22" s="116">
        <v>0.46400000000000002</v>
      </c>
      <c r="P22" s="116">
        <v>0.44818999999999998</v>
      </c>
      <c r="Q22" s="116">
        <v>0.89644000000000001</v>
      </c>
      <c r="R22" s="122">
        <f t="shared" ref="R22:R29" si="11">E22/C22</f>
        <v>1.8758374274229566</v>
      </c>
      <c r="S22" s="117">
        <f t="shared" ref="S22:S29" si="12">0.000018/B22</f>
        <v>2.5604551920341397E-5</v>
      </c>
      <c r="T22" s="117">
        <f t="shared" si="8"/>
        <v>23433333.333333332</v>
      </c>
      <c r="U22" s="124">
        <f t="shared" si="4"/>
        <v>8.2069931656451622</v>
      </c>
      <c r="V22" s="124">
        <f t="shared" si="5"/>
        <v>0.14564677204631618</v>
      </c>
      <c r="W22" s="124">
        <f t="shared" si="6"/>
        <v>1.4003931296001109</v>
      </c>
      <c r="X22" s="123">
        <f t="shared" si="7"/>
        <v>11.674243478869364</v>
      </c>
      <c r="Y22" s="124">
        <f t="shared" ref="Y22:Y29" si="13">V22*W22</f>
        <v>0.20396273892209466</v>
      </c>
      <c r="Z22" s="124" t="s">
        <v>300</v>
      </c>
      <c r="AA22" t="s">
        <v>305</v>
      </c>
    </row>
    <row r="23" spans="1:27" ht="26" customHeight="1" x14ac:dyDescent="0.2">
      <c r="A23" s="121" t="s">
        <v>303</v>
      </c>
      <c r="B23" s="116">
        <v>0.58199999999999996</v>
      </c>
      <c r="C23" s="116">
        <v>13.537000000000001</v>
      </c>
      <c r="D23" s="116"/>
      <c r="E23" s="116">
        <v>21</v>
      </c>
      <c r="F23" s="116">
        <v>2534</v>
      </c>
      <c r="G23" s="127">
        <v>8.3250000000000002E-4</v>
      </c>
      <c r="H23" s="123">
        <f t="shared" si="10"/>
        <v>0</v>
      </c>
      <c r="I23" s="123">
        <f t="shared" si="1"/>
        <v>2.4579800000000001</v>
      </c>
      <c r="J23" s="126">
        <v>200</v>
      </c>
      <c r="L23" s="116">
        <v>12</v>
      </c>
      <c r="M23" s="116">
        <v>21</v>
      </c>
      <c r="N23" s="116" t="s">
        <v>31</v>
      </c>
      <c r="O23" s="116">
        <v>0.46400000000000002</v>
      </c>
      <c r="P23" s="116">
        <v>0.44818999999999998</v>
      </c>
      <c r="Q23" s="116">
        <v>0.89644000000000001</v>
      </c>
      <c r="R23" s="122">
        <f t="shared" si="11"/>
        <v>1.5513038339366181</v>
      </c>
      <c r="S23" s="117">
        <f t="shared" si="12"/>
        <v>3.0927835051546395E-5</v>
      </c>
      <c r="T23" s="117">
        <f t="shared" si="8"/>
        <v>19400000</v>
      </c>
      <c r="U23" s="124">
        <f>1/22*(9.81*L23*K22)^(1/3)</f>
        <v>8.2069931656451622</v>
      </c>
      <c r="V23" s="124">
        <f>22^2 * (9.81 / L23^2 / K22^2) ^ (1/3)</f>
        <v>0.14564677204631618</v>
      </c>
      <c r="W23" s="124">
        <f>4*SQRT(0.000000167 * L23^2 * K22 / 9.81)</f>
        <v>1.4003931296001109</v>
      </c>
      <c r="X23" s="123">
        <f t="shared" ref="X23:X29" si="14">U23/B23</f>
        <v>14.101362827569009</v>
      </c>
      <c r="Y23" s="124">
        <f t="shared" si="13"/>
        <v>0.20396273892209466</v>
      </c>
      <c r="Z23" s="124" t="s">
        <v>300</v>
      </c>
      <c r="AA23" t="s">
        <v>304</v>
      </c>
    </row>
    <row r="24" spans="1:27" ht="26" hidden="1" customHeight="1" x14ac:dyDescent="0.2">
      <c r="A24" s="121" t="s">
        <v>318</v>
      </c>
      <c r="B24" s="116">
        <v>0.70799999999999996</v>
      </c>
      <c r="C24" s="116"/>
      <c r="D24" s="116"/>
      <c r="E24" s="116">
        <v>21</v>
      </c>
      <c r="F24" s="116">
        <v>2465</v>
      </c>
      <c r="G24" s="127">
        <v>0.16489999999999999</v>
      </c>
      <c r="H24" s="123">
        <f t="shared" si="10"/>
        <v>0</v>
      </c>
      <c r="I24" s="123">
        <f t="shared" si="1"/>
        <v>2.9086999999999996</v>
      </c>
      <c r="J24" s="126">
        <v>750</v>
      </c>
      <c r="K24" s="117">
        <v>50000</v>
      </c>
      <c r="L24" s="116">
        <v>12</v>
      </c>
      <c r="M24" s="116">
        <v>21</v>
      </c>
      <c r="N24" s="116"/>
      <c r="O24" s="116">
        <v>0.46400000000000002</v>
      </c>
      <c r="P24" s="116">
        <v>5.9180000000000003E-2</v>
      </c>
      <c r="Q24" s="116">
        <v>0.11078</v>
      </c>
      <c r="R24" s="122" t="e">
        <f t="shared" si="11"/>
        <v>#DIV/0!</v>
      </c>
      <c r="S24" s="117">
        <f t="shared" si="12"/>
        <v>2.5423728813559325E-5</v>
      </c>
      <c r="T24" s="117">
        <f t="shared" si="8"/>
        <v>23599999.999999996</v>
      </c>
      <c r="U24" s="124" t="e">
        <f>1/22*(9.81*L24*#REF!)^(1/3)</f>
        <v>#REF!</v>
      </c>
      <c r="V24" s="124" t="e">
        <f>22^2 * (9.81 / L24^2 /#REF!^ 2) ^ (1/3)</f>
        <v>#REF!</v>
      </c>
      <c r="W24" s="124" t="e">
        <f>4*SQRT(0.000000167 * L24^2 *#REF! / 9.81)</f>
        <v>#REF!</v>
      </c>
      <c r="X24" s="123" t="e">
        <f t="shared" si="14"/>
        <v>#REF!</v>
      </c>
      <c r="Y24" s="124" t="e">
        <f t="shared" si="13"/>
        <v>#REF!</v>
      </c>
      <c r="Z24" s="124" t="s">
        <v>300</v>
      </c>
      <c r="AA24" t="s">
        <v>305</v>
      </c>
    </row>
    <row r="25" spans="1:27" ht="26" hidden="1" customHeight="1" x14ac:dyDescent="0.2">
      <c r="A25" s="121" t="s">
        <v>319</v>
      </c>
      <c r="B25" s="116">
        <v>0.72799999999999998</v>
      </c>
      <c r="C25" s="116"/>
      <c r="D25" s="116"/>
      <c r="E25" s="116">
        <v>21</v>
      </c>
      <c r="F25" s="116">
        <v>2205</v>
      </c>
      <c r="G25" s="127">
        <v>6.9769999999999999E-2</v>
      </c>
      <c r="H25" s="123">
        <f t="shared" si="10"/>
        <v>0</v>
      </c>
      <c r="I25" s="123">
        <f t="shared" si="1"/>
        <v>2.6754000000000002</v>
      </c>
      <c r="J25" s="126">
        <v>200</v>
      </c>
      <c r="L25" s="116">
        <v>12</v>
      </c>
      <c r="M25" s="116">
        <v>21</v>
      </c>
      <c r="N25" s="116"/>
      <c r="O25" s="116">
        <v>0.46400000000000002</v>
      </c>
      <c r="P25" s="116">
        <v>0.20446</v>
      </c>
      <c r="Q25" s="116">
        <v>0.24621000000000001</v>
      </c>
      <c r="R25" s="122" t="e">
        <f t="shared" si="11"/>
        <v>#DIV/0!</v>
      </c>
      <c r="S25" s="117">
        <f t="shared" si="12"/>
        <v>2.4725274725274727E-5</v>
      </c>
      <c r="T25" s="117">
        <f t="shared" si="8"/>
        <v>24266666.666666664</v>
      </c>
      <c r="U25" s="124">
        <f>1/22*(9.81*L25*K24)^(1/3)</f>
        <v>8.2069931656451622</v>
      </c>
      <c r="V25" s="124">
        <f>22^2 * (9.81 / L25^2 / K24^2) ^ (1/3)</f>
        <v>0.14564677204631618</v>
      </c>
      <c r="W25" s="124">
        <f>4*SQRT(0.000000167 * L25^2 * K24 / 9.81)</f>
        <v>1.4003931296001109</v>
      </c>
      <c r="X25" s="123">
        <f t="shared" si="14"/>
        <v>11.273342260501597</v>
      </c>
      <c r="Y25" s="124">
        <f t="shared" si="13"/>
        <v>0.20396273892209466</v>
      </c>
      <c r="Z25" s="124" t="s">
        <v>300</v>
      </c>
      <c r="AA25" t="s">
        <v>304</v>
      </c>
    </row>
    <row r="26" spans="1:27" ht="26" hidden="1" customHeight="1" x14ac:dyDescent="0.2">
      <c r="A26" s="121" t="s">
        <v>316</v>
      </c>
      <c r="B26" s="116">
        <v>0.68899999999999995</v>
      </c>
      <c r="C26" s="116"/>
      <c r="D26" s="116"/>
      <c r="E26" s="116">
        <v>21</v>
      </c>
      <c r="F26" s="116">
        <v>2511</v>
      </c>
      <c r="G26" s="127">
        <v>1E-8</v>
      </c>
      <c r="H26" s="123">
        <f t="shared" si="10"/>
        <v>0</v>
      </c>
      <c r="I26" s="123">
        <f t="shared" si="1"/>
        <v>2.8834649999999997</v>
      </c>
      <c r="J26" s="126">
        <v>750</v>
      </c>
      <c r="K26" s="117">
        <v>50000</v>
      </c>
      <c r="L26" s="116">
        <v>12</v>
      </c>
      <c r="M26" s="116">
        <v>21</v>
      </c>
      <c r="N26" s="116" t="s">
        <v>31</v>
      </c>
      <c r="O26" s="116">
        <v>0.46400000000000002</v>
      </c>
      <c r="P26" s="116">
        <v>9.4219999999999998E-2</v>
      </c>
      <c r="Q26" s="116">
        <v>0.15742999999999999</v>
      </c>
      <c r="R26" s="122" t="e">
        <f t="shared" si="11"/>
        <v>#DIV/0!</v>
      </c>
      <c r="S26" s="117">
        <f t="shared" si="12"/>
        <v>2.6124818577648769E-5</v>
      </c>
      <c r="T26" s="117">
        <f t="shared" si="8"/>
        <v>22966666.666666664</v>
      </c>
      <c r="U26" s="124">
        <f>1/22*(9.81*L26*K26)^(1/3)</f>
        <v>8.2069931656451622</v>
      </c>
      <c r="V26" s="124">
        <f>22^2 * (9.81 / L26^2 / K26^2) ^ (1/3)</f>
        <v>0.14564677204631618</v>
      </c>
      <c r="W26" s="124">
        <f>4*SQRT(0.000000167 * L26^2 * K26 / 9.81)</f>
        <v>1.4003931296001109</v>
      </c>
      <c r="X26" s="123">
        <f t="shared" si="14"/>
        <v>11.911455973360178</v>
      </c>
      <c r="Y26" s="124">
        <f t="shared" si="13"/>
        <v>0.20396273892209466</v>
      </c>
      <c r="Z26" s="124" t="s">
        <v>301</v>
      </c>
      <c r="AA26" t="s">
        <v>305</v>
      </c>
    </row>
    <row r="27" spans="1:27" ht="26" hidden="1" customHeight="1" x14ac:dyDescent="0.2">
      <c r="A27" s="121" t="s">
        <v>317</v>
      </c>
      <c r="B27" s="116">
        <v>0.60399999999999998</v>
      </c>
      <c r="C27" s="116"/>
      <c r="D27" s="116"/>
      <c r="E27" s="116">
        <v>21</v>
      </c>
      <c r="F27" s="116">
        <v>2501</v>
      </c>
      <c r="G27" s="127">
        <v>2.8050000000000002E-3</v>
      </c>
      <c r="H27" s="123">
        <f t="shared" si="10"/>
        <v>0</v>
      </c>
      <c r="I27" s="123">
        <f t="shared" si="1"/>
        <v>2.5176733333333332</v>
      </c>
      <c r="J27" s="126">
        <v>200</v>
      </c>
      <c r="K27" s="117">
        <v>50000</v>
      </c>
      <c r="L27" s="116">
        <v>12</v>
      </c>
      <c r="M27" s="116">
        <v>21</v>
      </c>
      <c r="N27" s="116" t="s">
        <v>31</v>
      </c>
      <c r="O27" s="116">
        <v>0.46400000000000002</v>
      </c>
      <c r="P27" s="116">
        <v>0.24661</v>
      </c>
      <c r="Q27" s="116">
        <v>0.37903999999999999</v>
      </c>
      <c r="R27" s="122" t="e">
        <f t="shared" si="11"/>
        <v>#DIV/0!</v>
      </c>
      <c r="S27" s="117">
        <f t="shared" si="12"/>
        <v>2.9801324503311261E-5</v>
      </c>
      <c r="T27" s="117">
        <f t="shared" si="8"/>
        <v>20133333.333333332</v>
      </c>
      <c r="U27" s="124">
        <f>1/22*(9.81*L27*K27)^(1/3)</f>
        <v>8.2069931656451622</v>
      </c>
      <c r="V27" s="124">
        <f>22^2 * (9.81 / L27^2 / K27^2) ^ (1/3)</f>
        <v>0.14564677204631618</v>
      </c>
      <c r="W27" s="124">
        <f>4*SQRT(0.000000167 * L27^2 * K27 / 9.81)</f>
        <v>1.4003931296001109</v>
      </c>
      <c r="X27" s="123">
        <f t="shared" si="14"/>
        <v>13.587737029213844</v>
      </c>
      <c r="Y27" s="124">
        <f t="shared" si="13"/>
        <v>0.20396273892209466</v>
      </c>
      <c r="Z27" s="124" t="s">
        <v>301</v>
      </c>
      <c r="AA27" t="s">
        <v>304</v>
      </c>
    </row>
    <row r="28" spans="1:27" ht="26" hidden="1" customHeight="1" x14ac:dyDescent="0.2">
      <c r="A28" s="121" t="s">
        <v>312</v>
      </c>
      <c r="B28" s="116">
        <v>0.73399999999999999</v>
      </c>
      <c r="C28" s="116">
        <v>10.981</v>
      </c>
      <c r="D28" s="116">
        <v>19.003</v>
      </c>
      <c r="E28" s="116">
        <v>21</v>
      </c>
      <c r="F28" s="116">
        <v>2709</v>
      </c>
      <c r="G28" s="127">
        <v>3.023E-2</v>
      </c>
      <c r="H28" s="123">
        <f t="shared" si="10"/>
        <v>25.889645776566759</v>
      </c>
      <c r="I28" s="123">
        <f t="shared" si="1"/>
        <v>3.3140100000000001</v>
      </c>
      <c r="J28" s="126">
        <v>750</v>
      </c>
      <c r="K28" s="117">
        <v>50000</v>
      </c>
      <c r="L28" s="116">
        <v>12</v>
      </c>
      <c r="M28" s="116">
        <v>21</v>
      </c>
      <c r="N28" s="116" t="s">
        <v>31</v>
      </c>
      <c r="O28" s="116">
        <v>0.46400000000000002</v>
      </c>
      <c r="P28" s="116">
        <v>9.4219999999999998E-2</v>
      </c>
      <c r="Q28" s="116">
        <v>0.15742999999999999</v>
      </c>
      <c r="R28" s="122">
        <f t="shared" si="11"/>
        <v>1.9123941353246516</v>
      </c>
      <c r="S28" s="117">
        <f t="shared" si="12"/>
        <v>2.4523160762942779E-5</v>
      </c>
      <c r="T28" s="117">
        <f>600/S28</f>
        <v>24466666.666666668</v>
      </c>
      <c r="U28" s="124">
        <f>1/22*(9.81*L28*K28)^(1/3)</f>
        <v>8.2069931656451622</v>
      </c>
      <c r="V28" s="124">
        <f>22^2 * (9.81 / L28^2 / K28^2) ^ (1/3)</f>
        <v>0.14564677204631618</v>
      </c>
      <c r="W28" s="124">
        <f>4*SQRT(0.000000167 * L28^2 * K28 / 9.81)</f>
        <v>1.4003931296001109</v>
      </c>
      <c r="X28" s="123">
        <f t="shared" si="14"/>
        <v>11.181189598971612</v>
      </c>
      <c r="Y28" s="124">
        <f t="shared" si="13"/>
        <v>0.20396273892209466</v>
      </c>
      <c r="Z28" s="124" t="s">
        <v>301</v>
      </c>
    </row>
    <row r="29" spans="1:27" ht="26" hidden="1" customHeight="1" x14ac:dyDescent="0.2">
      <c r="A29" s="121" t="s">
        <v>313</v>
      </c>
      <c r="B29" s="116">
        <v>0.57199999999999995</v>
      </c>
      <c r="C29" s="116">
        <v>14.127000000000001</v>
      </c>
      <c r="D29" s="116">
        <v>19.670999999999999</v>
      </c>
      <c r="E29" s="116">
        <v>21</v>
      </c>
      <c r="F29" s="116">
        <v>2524</v>
      </c>
      <c r="G29" s="127">
        <v>4.1980000000000001E-4</v>
      </c>
      <c r="H29" s="123">
        <f t="shared" si="10"/>
        <v>34.38986013986014</v>
      </c>
      <c r="I29" s="123">
        <f t="shared" si="1"/>
        <v>2.4062133333333331</v>
      </c>
      <c r="J29" s="126">
        <v>200</v>
      </c>
      <c r="K29" s="117">
        <v>50000</v>
      </c>
      <c r="L29" s="116">
        <v>12</v>
      </c>
      <c r="M29" s="116">
        <v>21</v>
      </c>
      <c r="N29" s="116" t="s">
        <v>31</v>
      </c>
      <c r="O29" s="116">
        <v>0.46400000000000002</v>
      </c>
      <c r="P29" s="116">
        <v>0.24661</v>
      </c>
      <c r="Q29" s="116">
        <v>0.37903999999999999</v>
      </c>
      <c r="R29" s="122">
        <f t="shared" si="11"/>
        <v>1.4865151836908048</v>
      </c>
      <c r="S29" s="117">
        <f t="shared" si="12"/>
        <v>3.1468531468531474E-5</v>
      </c>
      <c r="T29" s="117">
        <f>600/S29</f>
        <v>19066666.666666664</v>
      </c>
      <c r="U29" s="124">
        <f>1/22*(9.81*L29*K29)^(1/3)</f>
        <v>8.2069931656451622</v>
      </c>
      <c r="V29" s="124">
        <f>22^2 * (9.81 / L29^2 / K29^2) ^ (1/3)</f>
        <v>0.14564677204631618</v>
      </c>
      <c r="W29" s="124">
        <f>4*SQRT(0.000000167 * L29^2 * K29 / 9.81)</f>
        <v>1.4003931296001109</v>
      </c>
      <c r="X29" s="123">
        <f t="shared" si="14"/>
        <v>14.347890149729306</v>
      </c>
      <c r="Y29" s="124">
        <f t="shared" si="13"/>
        <v>0.20396273892209466</v>
      </c>
      <c r="Z29" s="124" t="s">
        <v>301</v>
      </c>
    </row>
  </sheetData>
  <conditionalFormatting sqref="N2:N29">
    <cfRule type="containsText" dxfId="22" priority="1" stopIfTrue="1" operator="containsText" text="bad">
      <formula>NOT(ISERROR(SEARCH("bad",N2)))</formula>
    </cfRule>
    <cfRule type="containsText" dxfId="21" priority="2" stopIfTrue="1" operator="containsText" text="error">
      <formula>NOT(ISERROR(SEARCH("error",N2)))</formula>
    </cfRule>
    <cfRule type="containsText" dxfId="20" priority="3" stopIfTrue="1" operator="containsText" text="running">
      <formula>NOT(ISERROR(SEARCH("running",N2)))</formula>
    </cfRule>
    <cfRule type="containsText" dxfId="19" priority="4" operator="containsText" text="done">
      <formula>NOT(ISERROR(SEARCH("done",N2)))</formula>
    </cfRule>
  </conditionalFormatting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F9DB-2BC0-3441-892D-ADC81500120C}">
  <dimension ref="A1:AN252"/>
  <sheetViews>
    <sheetView zoomScaleNormal="100" workbookViewId="0">
      <pane xSplit="1" ySplit="5" topLeftCell="C6" activePane="bottomRight" state="frozen"/>
      <selection pane="topRight" activeCell="B1" sqref="B1"/>
      <selection pane="bottomLeft" activeCell="A5" sqref="A5"/>
      <selection pane="bottomRight" activeCell="S6" sqref="S6"/>
    </sheetView>
  </sheetViews>
  <sheetFormatPr baseColWidth="10" defaultRowHeight="16" x14ac:dyDescent="0.2"/>
  <cols>
    <col min="1" max="1" width="14.83203125" style="7" customWidth="1"/>
    <col min="2" max="2" width="17.83203125" style="3" customWidth="1"/>
    <col min="3" max="3" width="15" style="3" customWidth="1"/>
    <col min="4" max="4" width="8.5" style="3" customWidth="1"/>
    <col min="5" max="5" width="13" style="13" customWidth="1"/>
    <col min="6" max="6" width="12.33203125" style="3" customWidth="1"/>
    <col min="7" max="7" width="16.1640625" style="3" customWidth="1"/>
    <col min="8" max="8" width="17" style="3" customWidth="1"/>
    <col min="9" max="12" width="17.1640625" style="3" customWidth="1"/>
    <col min="13" max="13" width="7.33203125" style="3" customWidth="1"/>
    <col min="14" max="14" width="20.33203125" style="3" customWidth="1"/>
    <col min="15" max="15" width="16.83203125" style="3" customWidth="1"/>
    <col min="16" max="16" width="12" style="3" customWidth="1"/>
    <col min="17" max="18" width="10.83203125" style="3"/>
    <col min="19" max="19" width="13.1640625" style="3" customWidth="1"/>
    <col min="20" max="27" width="10.83203125" style="3"/>
    <col min="28" max="28" width="11.33203125" style="3" customWidth="1"/>
    <col min="29" max="29" width="8.83203125" style="3" customWidth="1"/>
    <col min="30" max="30" width="16.33203125" style="3" customWidth="1"/>
    <col min="31" max="32" width="16.83203125" style="3" customWidth="1"/>
    <col min="33" max="35" width="11.5" style="5" customWidth="1"/>
    <col min="36" max="36" width="15.5" style="5" customWidth="1"/>
    <col min="37" max="37" width="8.33203125" style="3" customWidth="1"/>
    <col min="38" max="38" width="1.5" style="3" customWidth="1"/>
    <col min="39" max="39" width="45.5" style="4" customWidth="1"/>
    <col min="40" max="40" width="43.6640625" style="1" customWidth="1"/>
    <col min="41" max="16384" width="10.83203125" style="3"/>
  </cols>
  <sheetData>
    <row r="1" spans="1:40" x14ac:dyDescent="0.2">
      <c r="B1" s="8" t="s">
        <v>7</v>
      </c>
      <c r="C1" s="3">
        <v>0.49</v>
      </c>
      <c r="E1" s="3"/>
      <c r="F1" s="8" t="s">
        <v>6</v>
      </c>
      <c r="G1" s="3">
        <v>0.2</v>
      </c>
      <c r="AF1" s="189" t="s">
        <v>33</v>
      </c>
      <c r="AG1" s="189"/>
      <c r="AH1" s="189"/>
      <c r="AI1" s="189"/>
      <c r="AJ1" s="189"/>
      <c r="AK1" s="189"/>
    </row>
    <row r="2" spans="1:40" x14ac:dyDescent="0.2">
      <c r="E2" s="3"/>
      <c r="N2" s="3" t="s">
        <v>123</v>
      </c>
      <c r="O2" s="3">
        <v>126</v>
      </c>
      <c r="S2" s="3" t="s">
        <v>132</v>
      </c>
      <c r="T2" s="3">
        <v>600</v>
      </c>
      <c r="W2" s="3" t="s">
        <v>156</v>
      </c>
      <c r="Y2" s="3" t="s">
        <v>156</v>
      </c>
      <c r="AE2" s="1" t="s">
        <v>147</v>
      </c>
      <c r="AG2" s="3"/>
      <c r="AH2" s="3"/>
      <c r="AI2" s="3"/>
    </row>
    <row r="3" spans="1:40" ht="19" x14ac:dyDescent="0.2">
      <c r="B3" s="187" t="s">
        <v>13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9"/>
      <c r="N3" s="190" t="s">
        <v>120</v>
      </c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88" t="s">
        <v>26</v>
      </c>
      <c r="AH3" s="188"/>
      <c r="AI3" s="188"/>
      <c r="AJ3" s="188"/>
      <c r="AK3" s="188"/>
      <c r="AL3" s="188"/>
      <c r="AM3" s="188"/>
      <c r="AN3" s="188"/>
    </row>
    <row r="4" spans="1:40" ht="19" x14ac:dyDescent="0.2"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9"/>
      <c r="N4" s="50" t="s">
        <v>138</v>
      </c>
      <c r="O4" s="192" t="s">
        <v>137</v>
      </c>
      <c r="P4" s="192"/>
      <c r="Q4" s="192"/>
      <c r="R4" s="191" t="s">
        <v>136</v>
      </c>
      <c r="S4" s="191"/>
      <c r="T4" s="191"/>
      <c r="U4" s="191"/>
      <c r="V4" s="191"/>
      <c r="W4" s="191"/>
      <c r="X4" s="191"/>
      <c r="Y4" s="191"/>
      <c r="Z4" s="191"/>
      <c r="AA4" s="193" t="s">
        <v>139</v>
      </c>
      <c r="AB4" s="193"/>
      <c r="AC4" s="193"/>
      <c r="AD4" s="193"/>
      <c r="AE4" s="193"/>
      <c r="AF4" s="193"/>
      <c r="AG4" s="188"/>
      <c r="AH4" s="188"/>
      <c r="AI4" s="188"/>
      <c r="AJ4" s="188"/>
      <c r="AK4" s="188"/>
      <c r="AL4" s="188"/>
      <c r="AM4" s="188"/>
      <c r="AN4" s="188"/>
    </row>
    <row r="5" spans="1:40" s="6" customFormat="1" ht="18" x14ac:dyDescent="0.2">
      <c r="A5" s="10" t="s">
        <v>0</v>
      </c>
      <c r="B5" s="6" t="s">
        <v>2</v>
      </c>
      <c r="C5" s="6" t="s">
        <v>3</v>
      </c>
      <c r="D5" s="6" t="s">
        <v>45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18</v>
      </c>
      <c r="K5" s="6" t="s">
        <v>75</v>
      </c>
      <c r="L5" s="6" t="s">
        <v>16</v>
      </c>
      <c r="M5" s="6" t="s">
        <v>19</v>
      </c>
      <c r="N5" s="6" t="s">
        <v>5</v>
      </c>
      <c r="O5" s="6" t="s">
        <v>124</v>
      </c>
      <c r="P5" s="6" t="s">
        <v>121</v>
      </c>
      <c r="Q5" s="6" t="s">
        <v>15</v>
      </c>
      <c r="R5" s="6" t="s">
        <v>135</v>
      </c>
      <c r="S5" s="6" t="s">
        <v>129</v>
      </c>
      <c r="T5" s="6" t="s">
        <v>130</v>
      </c>
      <c r="U5" s="6" t="s">
        <v>44</v>
      </c>
      <c r="V5" s="51" t="s">
        <v>128</v>
      </c>
      <c r="W5" s="6" t="s">
        <v>134</v>
      </c>
      <c r="X5" s="6" t="s">
        <v>133</v>
      </c>
      <c r="Y5" s="51" t="s">
        <v>140</v>
      </c>
      <c r="Z5" s="51" t="s">
        <v>157</v>
      </c>
      <c r="AA5" s="6" t="s">
        <v>19</v>
      </c>
      <c r="AB5" s="6" t="s">
        <v>20</v>
      </c>
      <c r="AC5" s="6" t="s">
        <v>122</v>
      </c>
      <c r="AD5" s="6" t="s">
        <v>21</v>
      </c>
      <c r="AE5" s="6" t="s">
        <v>105</v>
      </c>
      <c r="AF5" s="6" t="s">
        <v>16</v>
      </c>
      <c r="AG5" s="6" t="s">
        <v>53</v>
      </c>
      <c r="AH5" s="6" t="s">
        <v>54</v>
      </c>
      <c r="AI5" s="6" t="s">
        <v>55</v>
      </c>
      <c r="AJ5" s="17" t="s">
        <v>30</v>
      </c>
      <c r="AK5" s="6" t="s">
        <v>28</v>
      </c>
      <c r="AM5" s="178" t="s">
        <v>17</v>
      </c>
      <c r="AN5" s="178"/>
    </row>
    <row r="6" spans="1:40" ht="34" x14ac:dyDescent="0.2">
      <c r="A6" s="7" t="s">
        <v>125</v>
      </c>
      <c r="B6" s="12">
        <v>1.8E-5</v>
      </c>
      <c r="C6" s="3">
        <v>1000</v>
      </c>
      <c r="D6" s="3">
        <v>128</v>
      </c>
      <c r="E6" s="13">
        <v>5</v>
      </c>
      <c r="F6" s="3">
        <v>1.7000000000000001E-4</v>
      </c>
      <c r="G6" s="3">
        <v>0.72104749999999995</v>
      </c>
      <c r="H6" s="3">
        <v>0.85973540000000004</v>
      </c>
      <c r="I6" s="3">
        <v>1.2017E-3</v>
      </c>
      <c r="J6" s="11">
        <v>0.77986433904576757</v>
      </c>
      <c r="K6" s="34">
        <v>1.8743975519833352E-3</v>
      </c>
      <c r="L6" s="3">
        <f>G6/10</f>
        <v>7.2104749999999995E-2</v>
      </c>
      <c r="M6" s="3">
        <v>1</v>
      </c>
      <c r="N6" s="3">
        <v>10</v>
      </c>
      <c r="O6" s="12">
        <f>N6*O$2/B6</f>
        <v>70000000</v>
      </c>
      <c r="P6" s="48">
        <v>1</v>
      </c>
      <c r="Q6" s="3">
        <v>7</v>
      </c>
      <c r="R6" s="3">
        <v>60</v>
      </c>
      <c r="S6" s="14">
        <f>2*PI()/R6</f>
        <v>0.10471975511965977</v>
      </c>
      <c r="T6" s="3">
        <v>1.8</v>
      </c>
      <c r="U6" s="14">
        <f>SQRT(9.81/S6)</f>
        <v>9.6787705574566445</v>
      </c>
      <c r="V6" s="52">
        <f>S6*T6</f>
        <v>0.18849555921538758</v>
      </c>
      <c r="W6" s="12">
        <f>T6*1200*(T6/R6)^(4.5)</f>
        <v>3.0303960929225051E-4</v>
      </c>
      <c r="X6" s="14">
        <f>N6*0.4/LN($T$2/W6)</f>
        <v>0.27588915000706782</v>
      </c>
      <c r="Y6" s="53">
        <f>U6/X6</f>
        <v>35.08209930404545</v>
      </c>
      <c r="Z6" s="53">
        <f>U6/N6</f>
        <v>0.96787705574566441</v>
      </c>
      <c r="AA6" s="3">
        <v>0.4</v>
      </c>
      <c r="AB6" s="3">
        <v>16000</v>
      </c>
      <c r="AC6" s="3">
        <v>2000</v>
      </c>
      <c r="AD6" s="13">
        <f>N6/AC6*AB6</f>
        <v>80</v>
      </c>
      <c r="AE6" s="3">
        <v>0.72519999999999996</v>
      </c>
      <c r="AF6" s="14">
        <f>AE6/N6</f>
        <v>7.2520000000000001E-2</v>
      </c>
      <c r="AG6" s="16" t="s">
        <v>118</v>
      </c>
      <c r="AH6" s="5" t="s">
        <v>119</v>
      </c>
      <c r="AI6" s="16" t="s">
        <v>142</v>
      </c>
      <c r="AJ6" s="5" t="s">
        <v>31</v>
      </c>
      <c r="AK6" s="3" t="s">
        <v>43</v>
      </c>
      <c r="AM6" s="4" t="s">
        <v>117</v>
      </c>
    </row>
    <row r="7" spans="1:40" ht="34" x14ac:dyDescent="0.2">
      <c r="A7" s="7" t="s">
        <v>23</v>
      </c>
      <c r="B7" s="12">
        <v>1.8E-5</v>
      </c>
      <c r="C7" s="3">
        <v>1000</v>
      </c>
      <c r="D7" s="3">
        <v>128</v>
      </c>
      <c r="E7" s="13">
        <v>5</v>
      </c>
      <c r="F7" s="3">
        <v>2.2000000000000001E-4</v>
      </c>
      <c r="G7" s="3">
        <v>0.51128790000000002</v>
      </c>
      <c r="H7" s="3">
        <v>1.0209722999999999</v>
      </c>
      <c r="I7" s="3">
        <v>8.5209999999999995E-4</v>
      </c>
      <c r="J7" s="11">
        <v>0.39212000000000002</v>
      </c>
      <c r="K7" s="34">
        <v>6.6828999999999999E-4</v>
      </c>
      <c r="L7" s="3">
        <f>G7/10</f>
        <v>5.112879E-2</v>
      </c>
      <c r="M7" s="3">
        <v>1</v>
      </c>
      <c r="N7" s="3">
        <v>10</v>
      </c>
      <c r="O7" s="12">
        <f>N7*O$2/B7</f>
        <v>70000000</v>
      </c>
      <c r="P7" s="48">
        <v>1</v>
      </c>
      <c r="Q7" s="3">
        <v>7</v>
      </c>
      <c r="R7" s="3">
        <v>60</v>
      </c>
      <c r="S7" s="14">
        <f>2*PI()/R7</f>
        <v>0.10471975511965977</v>
      </c>
      <c r="T7" s="3">
        <v>1.8</v>
      </c>
      <c r="U7" s="14">
        <f t="shared" ref="U7:U12" si="0">SQRT(9.81/S7)</f>
        <v>9.6787705574566445</v>
      </c>
      <c r="V7" s="52">
        <f>S7*T7</f>
        <v>0.18849555921538758</v>
      </c>
      <c r="W7" s="12">
        <f>T7*1200*(T7/R7)^(4.5)</f>
        <v>3.0303960929225051E-4</v>
      </c>
      <c r="X7" s="14">
        <f>N7*0.4/LN($T$2/W7)</f>
        <v>0.27588915000706782</v>
      </c>
      <c r="Y7" s="53">
        <f>U7/X7</f>
        <v>35.08209930404545</v>
      </c>
      <c r="Z7" s="53">
        <f>U7/N7</f>
        <v>0.96787705574566441</v>
      </c>
      <c r="AA7" s="3">
        <v>0.4</v>
      </c>
      <c r="AB7" s="3">
        <v>16000</v>
      </c>
      <c r="AC7" s="3">
        <v>2000</v>
      </c>
      <c r="AD7" s="13">
        <f>N7/AC7*AB7</f>
        <v>80</v>
      </c>
      <c r="AE7" s="3">
        <v>0.52310000000000001</v>
      </c>
      <c r="AF7" s="14">
        <f>AE7/N7</f>
        <v>5.2310000000000002E-2</v>
      </c>
      <c r="AI7" s="5" t="s">
        <v>143</v>
      </c>
      <c r="AJ7" s="5" t="s">
        <v>31</v>
      </c>
      <c r="AK7" s="3" t="s">
        <v>39</v>
      </c>
    </row>
    <row r="8" spans="1:40" ht="34" x14ac:dyDescent="0.2">
      <c r="A8" s="7" t="s">
        <v>24</v>
      </c>
      <c r="B8" s="12">
        <v>1.8E-5</v>
      </c>
      <c r="C8" s="3">
        <v>1000</v>
      </c>
      <c r="D8" s="3">
        <v>128</v>
      </c>
      <c r="E8" s="13">
        <v>5</v>
      </c>
      <c r="F8" s="3">
        <v>1.3999999999999999E-4</v>
      </c>
      <c r="G8" s="3">
        <v>0.9340965</v>
      </c>
      <c r="H8" s="3">
        <v>0.75535459999999999</v>
      </c>
      <c r="I8" s="3">
        <v>1.5567999999999999E-3</v>
      </c>
      <c r="J8" s="11">
        <v>1.3088</v>
      </c>
      <c r="K8" s="34">
        <v>4.0752000000000002E-3</v>
      </c>
      <c r="L8" s="3">
        <f>G8/10</f>
        <v>9.3409649999999997E-2</v>
      </c>
      <c r="M8" s="3">
        <v>1</v>
      </c>
      <c r="N8" s="3">
        <v>10</v>
      </c>
      <c r="O8" s="12">
        <f>N8*O$2/B8</f>
        <v>70000000</v>
      </c>
      <c r="P8" s="48">
        <v>1</v>
      </c>
      <c r="Q8" s="3">
        <v>7</v>
      </c>
      <c r="R8" s="3">
        <v>60</v>
      </c>
      <c r="S8" s="14">
        <f>2*PI()/R8</f>
        <v>0.10471975511965977</v>
      </c>
      <c r="T8" s="3">
        <v>1.8</v>
      </c>
      <c r="U8" s="14">
        <f t="shared" si="0"/>
        <v>9.6787705574566445</v>
      </c>
      <c r="V8" s="52">
        <f>S8*T8</f>
        <v>0.18849555921538758</v>
      </c>
      <c r="W8" s="12">
        <f>T8*1200*(T8/R8)^(4.5)</f>
        <v>3.0303960929225051E-4</v>
      </c>
      <c r="X8" s="14">
        <f>N8*0.4/LN($T$2/W8)</f>
        <v>0.27588915000706782</v>
      </c>
      <c r="Y8" s="53">
        <f>U8/X8</f>
        <v>35.08209930404545</v>
      </c>
      <c r="Z8" s="53">
        <f>U8/N8</f>
        <v>0.96787705574566441</v>
      </c>
      <c r="AA8" s="3">
        <v>0.4</v>
      </c>
      <c r="AB8" s="3">
        <v>16000</v>
      </c>
      <c r="AC8" s="3">
        <v>2000</v>
      </c>
      <c r="AD8" s="13">
        <f>N8/AC8*AB8</f>
        <v>80</v>
      </c>
      <c r="AE8" s="3">
        <v>0.89870000000000005</v>
      </c>
      <c r="AF8" s="14">
        <f>AE8/N8</f>
        <v>8.9870000000000005E-2</v>
      </c>
      <c r="AG8" s="5" t="s">
        <v>126</v>
      </c>
      <c r="AH8" s="5" t="s">
        <v>127</v>
      </c>
      <c r="AI8" s="16" t="s">
        <v>144</v>
      </c>
      <c r="AJ8" s="5" t="s">
        <v>31</v>
      </c>
      <c r="AK8" s="3" t="s">
        <v>44</v>
      </c>
    </row>
    <row r="9" spans="1:40" ht="34" x14ac:dyDescent="0.2">
      <c r="A9" s="7" t="s">
        <v>25</v>
      </c>
      <c r="B9" s="12">
        <v>1.8E-5</v>
      </c>
      <c r="C9" s="3">
        <v>1000</v>
      </c>
      <c r="D9" s="3">
        <v>128</v>
      </c>
      <c r="E9" s="13">
        <v>5</v>
      </c>
      <c r="F9" s="3">
        <v>1.7000000000000001E-4</v>
      </c>
      <c r="G9" s="3">
        <v>0.72104749999999995</v>
      </c>
      <c r="H9" s="3">
        <v>0.85973540000000004</v>
      </c>
      <c r="I9" s="3">
        <v>1.2017E-3</v>
      </c>
      <c r="J9" s="11">
        <v>0.77986433904576757</v>
      </c>
      <c r="K9" s="34">
        <v>1.8743975519833352E-3</v>
      </c>
      <c r="L9" s="3">
        <f>G9/10</f>
        <v>7.2104749999999995E-2</v>
      </c>
      <c r="M9" s="3">
        <v>1</v>
      </c>
      <c r="N9" s="3">
        <v>10</v>
      </c>
      <c r="O9" s="12">
        <f>N9*O$2/B9</f>
        <v>70000000</v>
      </c>
      <c r="P9" s="48">
        <v>1</v>
      </c>
      <c r="Q9" s="3">
        <v>7</v>
      </c>
      <c r="R9" s="3">
        <v>60</v>
      </c>
      <c r="S9" s="14">
        <f>2*PI()/R9</f>
        <v>0.10471975511965977</v>
      </c>
      <c r="T9" s="3">
        <v>2.7</v>
      </c>
      <c r="U9" s="14">
        <f t="shared" si="0"/>
        <v>9.6787705574566445</v>
      </c>
      <c r="V9" s="52">
        <f>S9*T9</f>
        <v>0.28274333882308139</v>
      </c>
      <c r="W9" s="12">
        <f>T9*1200*(T9/R9)^(4.5)</f>
        <v>2.8183915117541989E-3</v>
      </c>
      <c r="X9" s="14">
        <f>N9*0.4/LN($T$2/W9)</f>
        <v>0.32603773373993489</v>
      </c>
      <c r="Y9" s="53">
        <f>U9/X9</f>
        <v>29.686044147199688</v>
      </c>
      <c r="Z9" s="53">
        <f>U9/N9</f>
        <v>0.96787705574566441</v>
      </c>
      <c r="AA9" s="3">
        <v>0.5</v>
      </c>
      <c r="AB9" s="3">
        <v>4000</v>
      </c>
      <c r="AC9" s="3">
        <v>2000</v>
      </c>
      <c r="AD9" s="13">
        <f>N9/AC9*AB9</f>
        <v>20</v>
      </c>
      <c r="AF9" s="14"/>
      <c r="AG9" s="49" t="s">
        <v>131</v>
      </c>
      <c r="AH9" s="49" t="s">
        <v>131</v>
      </c>
      <c r="AI9" s="5" t="s">
        <v>145</v>
      </c>
      <c r="AJ9" s="5" t="s">
        <v>31</v>
      </c>
      <c r="AK9" s="3" t="s">
        <v>57</v>
      </c>
    </row>
    <row r="10" spans="1:40" ht="34" x14ac:dyDescent="0.2">
      <c r="A10" s="7" t="s">
        <v>27</v>
      </c>
      <c r="B10" s="12">
        <v>1.8E-5</v>
      </c>
      <c r="C10" s="3">
        <v>1000</v>
      </c>
      <c r="D10" s="3">
        <v>128</v>
      </c>
      <c r="E10" s="13">
        <v>5</v>
      </c>
      <c r="F10" s="3">
        <v>1.7000000000000001E-4</v>
      </c>
      <c r="G10" s="3">
        <v>0.72104749999999995</v>
      </c>
      <c r="H10" s="3">
        <v>0.85973540000000004</v>
      </c>
      <c r="I10" s="3">
        <v>1.2017E-3</v>
      </c>
      <c r="J10" s="11">
        <v>0.77986433904576757</v>
      </c>
      <c r="K10" s="34">
        <v>1.8743975519833352E-3</v>
      </c>
      <c r="L10" s="3">
        <f>G10/10</f>
        <v>7.2104749999999995E-2</v>
      </c>
      <c r="M10" s="3">
        <v>1</v>
      </c>
      <c r="N10" s="3">
        <v>10</v>
      </c>
      <c r="O10" s="12">
        <f>N10*O$2/B10</f>
        <v>70000000</v>
      </c>
      <c r="P10" s="48">
        <v>1</v>
      </c>
      <c r="Q10" s="3">
        <v>7</v>
      </c>
      <c r="R10" s="3">
        <v>60</v>
      </c>
      <c r="S10" s="14">
        <f>2*PI()/R10</f>
        <v>0.10471975511965977</v>
      </c>
      <c r="T10" s="3">
        <v>0.8</v>
      </c>
      <c r="U10" s="14">
        <f t="shared" si="0"/>
        <v>9.6787705574566445</v>
      </c>
      <c r="V10" s="52">
        <f>S10*T10</f>
        <v>8.3775804095727824E-2</v>
      </c>
      <c r="W10" s="12">
        <f>T10*1200*(T10/R10)^(4.5)</f>
        <v>3.503446966815861E-6</v>
      </c>
      <c r="X10" s="14">
        <f>N10*0.4/LN($T$2/W10)</f>
        <v>0.2109850096188777</v>
      </c>
      <c r="Y10" s="53">
        <f>U10/X10</f>
        <v>45.874209617736959</v>
      </c>
      <c r="Z10" s="53">
        <f>U10/N10</f>
        <v>0.96787705574566441</v>
      </c>
      <c r="AA10" s="3">
        <v>0.5</v>
      </c>
      <c r="AB10" s="3">
        <v>4000</v>
      </c>
      <c r="AC10" s="3">
        <v>2000</v>
      </c>
      <c r="AD10" s="13">
        <f>N10/AC10*AB10</f>
        <v>20</v>
      </c>
      <c r="AF10" s="14"/>
      <c r="AG10" s="49" t="s">
        <v>131</v>
      </c>
      <c r="AH10" s="49" t="s">
        <v>131</v>
      </c>
      <c r="AI10" s="5" t="s">
        <v>146</v>
      </c>
      <c r="AJ10" s="5" t="s">
        <v>31</v>
      </c>
      <c r="AK10" s="3" t="s">
        <v>58</v>
      </c>
    </row>
    <row r="11" spans="1:40" ht="34" x14ac:dyDescent="0.2">
      <c r="A11" s="7" t="s">
        <v>29</v>
      </c>
      <c r="N11" s="3">
        <v>10</v>
      </c>
      <c r="P11" s="48">
        <v>6</v>
      </c>
      <c r="S11" s="14"/>
      <c r="U11" s="14"/>
      <c r="V11" s="14"/>
      <c r="W11" s="14"/>
      <c r="X11" s="14"/>
      <c r="Y11" s="14"/>
      <c r="Z11" s="14"/>
      <c r="AD11" s="13"/>
      <c r="AF11" s="14"/>
      <c r="AG11" s="49" t="s">
        <v>131</v>
      </c>
      <c r="AH11" s="49" t="s">
        <v>131</v>
      </c>
      <c r="AI11" s="5" t="s">
        <v>155</v>
      </c>
      <c r="AJ11" s="5" t="s">
        <v>31</v>
      </c>
      <c r="AK11" s="3" t="s">
        <v>154</v>
      </c>
    </row>
    <row r="12" spans="1:40" ht="34" x14ac:dyDescent="0.2">
      <c r="A12" s="7" t="s">
        <v>40</v>
      </c>
      <c r="B12" s="12">
        <v>1.8E-5</v>
      </c>
      <c r="C12" s="3">
        <v>1000</v>
      </c>
      <c r="D12" s="3">
        <v>128</v>
      </c>
      <c r="E12" s="13">
        <v>5</v>
      </c>
      <c r="F12" s="3">
        <v>2.2000000000000001E-4</v>
      </c>
      <c r="G12" s="3">
        <v>0.51128790000000002</v>
      </c>
      <c r="H12" s="3">
        <v>1.0209722999999999</v>
      </c>
      <c r="I12" s="3">
        <v>8.5209999999999995E-4</v>
      </c>
      <c r="J12" s="11">
        <v>0.39212000000000002</v>
      </c>
      <c r="K12" s="34">
        <v>6.6828999999999999E-4</v>
      </c>
      <c r="L12" s="3">
        <f>G12/N12</f>
        <v>7.0135514403292187E-2</v>
      </c>
      <c r="M12" s="3">
        <v>1</v>
      </c>
      <c r="N12" s="3">
        <v>7.29</v>
      </c>
      <c r="O12" s="12">
        <f>N12*O$2/B12</f>
        <v>51030000</v>
      </c>
      <c r="P12" s="48">
        <v>1</v>
      </c>
      <c r="Q12" s="3">
        <v>7</v>
      </c>
      <c r="R12" s="3">
        <v>62.83</v>
      </c>
      <c r="S12" s="58">
        <f>2*PI()/R12</f>
        <v>0.1000029493423458</v>
      </c>
      <c r="T12" s="3">
        <v>2</v>
      </c>
      <c r="U12" s="14">
        <f t="shared" si="0"/>
        <v>9.9043983553010282</v>
      </c>
      <c r="V12" s="59">
        <f>S12*T12</f>
        <v>0.2000058986846916</v>
      </c>
      <c r="W12" s="12">
        <f>T12*1200*(T12/R12)^(4.5)</f>
        <v>4.3963722049590213E-4</v>
      </c>
      <c r="X12" s="14">
        <f>N12*0.4/LN($T$2/W12)</f>
        <v>0.20642069847969124</v>
      </c>
      <c r="Y12" s="53">
        <f>U12/X12</f>
        <v>47.981614383867011</v>
      </c>
      <c r="Z12" s="53">
        <f>U12/N12</f>
        <v>1.3586280322772328</v>
      </c>
      <c r="AA12" s="3">
        <v>0.5</v>
      </c>
      <c r="AB12" s="3">
        <v>4000</v>
      </c>
      <c r="AC12" s="3">
        <v>2000</v>
      </c>
      <c r="AD12" s="13">
        <f>N12/AC12*AB12</f>
        <v>14.58</v>
      </c>
      <c r="AE12" s="3">
        <v>0.52310000000000001</v>
      </c>
      <c r="AF12" s="14">
        <f>AE12/N12</f>
        <v>7.1755829903978052E-2</v>
      </c>
      <c r="AG12" s="49" t="s">
        <v>131</v>
      </c>
      <c r="AH12" s="49" t="s">
        <v>131</v>
      </c>
      <c r="AI12" s="5" t="s">
        <v>145</v>
      </c>
      <c r="AJ12" s="5" t="s">
        <v>31</v>
      </c>
      <c r="AK12" s="3" t="s">
        <v>57</v>
      </c>
    </row>
    <row r="13" spans="1:40" ht="34" x14ac:dyDescent="0.2">
      <c r="A13" s="7" t="s">
        <v>41</v>
      </c>
      <c r="B13" s="12">
        <v>1.8E-5</v>
      </c>
      <c r="C13" s="3">
        <v>1000</v>
      </c>
      <c r="D13" s="3">
        <v>128</v>
      </c>
      <c r="E13" s="13">
        <v>5</v>
      </c>
      <c r="F13" s="3">
        <v>1.7000000000000001E-4</v>
      </c>
      <c r="G13" s="3">
        <v>0.72104749999999995</v>
      </c>
      <c r="H13" s="3">
        <v>0.85973540000000004</v>
      </c>
      <c r="I13" s="3">
        <v>1.2017E-3</v>
      </c>
      <c r="J13" s="11">
        <v>0.77986433904576757</v>
      </c>
      <c r="K13" s="34">
        <v>1.8743975519833352E-3</v>
      </c>
      <c r="L13" s="3">
        <f>G13/N13</f>
        <v>7.0072643343051508E-2</v>
      </c>
      <c r="M13" s="3">
        <v>1</v>
      </c>
      <c r="N13" s="3">
        <v>10.29</v>
      </c>
      <c r="O13" s="12">
        <f>N13*O$2/B13</f>
        <v>72030000</v>
      </c>
      <c r="P13" s="48">
        <v>1</v>
      </c>
      <c r="Q13" s="3">
        <v>7</v>
      </c>
      <c r="R13" s="3">
        <v>62.83</v>
      </c>
      <c r="S13" s="58">
        <f>2*PI()/R13</f>
        <v>0.1000029493423458</v>
      </c>
      <c r="T13" s="3">
        <v>2</v>
      </c>
      <c r="U13" s="14">
        <f>SQRT(9.81/S13)</f>
        <v>9.9043983553010282</v>
      </c>
      <c r="V13" s="59">
        <f>S13*T13</f>
        <v>0.2000058986846916</v>
      </c>
      <c r="W13" s="12">
        <f>T13*1200*(T13/R13)^(4.5)</f>
        <v>4.3963722049590213E-4</v>
      </c>
      <c r="X13" s="14">
        <f>N13*0.4/LN($T$2/W13)</f>
        <v>0.2913674879775065</v>
      </c>
      <c r="Y13" s="53">
        <f>U13/X13</f>
        <v>33.992805525596751</v>
      </c>
      <c r="Z13" s="53">
        <f>U13/N13</f>
        <v>0.96252656514101353</v>
      </c>
      <c r="AA13" s="3">
        <v>0.5</v>
      </c>
      <c r="AB13" s="3">
        <v>4000</v>
      </c>
      <c r="AC13" s="3">
        <v>2000</v>
      </c>
      <c r="AD13" s="13">
        <f>N13/AC13*AB13</f>
        <v>20.58</v>
      </c>
      <c r="AE13" s="3">
        <v>0.72519999999999996</v>
      </c>
      <c r="AF13" s="14">
        <f>AE13/N13</f>
        <v>7.0476190476190484E-2</v>
      </c>
      <c r="AG13" s="49" t="s">
        <v>131</v>
      </c>
      <c r="AH13" s="49" t="s">
        <v>131</v>
      </c>
      <c r="AI13" s="5" t="s">
        <v>145</v>
      </c>
      <c r="AJ13" s="5" t="s">
        <v>31</v>
      </c>
      <c r="AK13" s="3" t="s">
        <v>58</v>
      </c>
    </row>
    <row r="14" spans="1:40" ht="34" x14ac:dyDescent="0.2">
      <c r="A14" s="7" t="s">
        <v>42</v>
      </c>
      <c r="B14" s="12">
        <v>1.8E-5</v>
      </c>
      <c r="C14" s="3">
        <v>1000</v>
      </c>
      <c r="D14" s="3">
        <v>128</v>
      </c>
      <c r="E14" s="13">
        <v>5</v>
      </c>
      <c r="F14" s="3">
        <v>1.3999999999999999E-4</v>
      </c>
      <c r="G14" s="3">
        <v>0.9340965</v>
      </c>
      <c r="H14" s="3">
        <v>0.75535459999999999</v>
      </c>
      <c r="I14" s="3">
        <v>1.5567999999999999E-3</v>
      </c>
      <c r="J14" s="11">
        <v>1.3088</v>
      </c>
      <c r="K14" s="34">
        <v>4.0752000000000002E-3</v>
      </c>
      <c r="L14" s="3">
        <f>G14/N14</f>
        <v>7.0285665914221224E-2</v>
      </c>
      <c r="M14" s="3">
        <v>1</v>
      </c>
      <c r="N14" s="3">
        <v>13.29</v>
      </c>
      <c r="O14" s="12">
        <f>N14*O$2/B14</f>
        <v>93030000</v>
      </c>
      <c r="P14" s="48">
        <v>1</v>
      </c>
      <c r="Q14" s="3">
        <v>7</v>
      </c>
      <c r="R14" s="3">
        <v>62.83</v>
      </c>
      <c r="S14" s="58">
        <f>2*PI()/R14</f>
        <v>0.1000029493423458</v>
      </c>
      <c r="T14" s="3">
        <v>2</v>
      </c>
      <c r="U14" s="14">
        <f>SQRT(9.81/S14)</f>
        <v>9.9043983553010282</v>
      </c>
      <c r="V14" s="59">
        <f>S14*T14</f>
        <v>0.2000058986846916</v>
      </c>
      <c r="W14" s="12">
        <f>T14*1200*(T14/R14)^(4.5)</f>
        <v>4.3963722049590213E-4</v>
      </c>
      <c r="X14" s="14">
        <f>N14*0.4/LN($T$2/W14)</f>
        <v>0.37631427747532181</v>
      </c>
      <c r="Y14" s="53">
        <f>U14/X14</f>
        <v>26.319485993859335</v>
      </c>
      <c r="Z14" s="53">
        <f>U14/N14</f>
        <v>0.74525194547035578</v>
      </c>
      <c r="AA14" s="3">
        <v>0.5</v>
      </c>
      <c r="AB14" s="3">
        <v>4000</v>
      </c>
      <c r="AC14" s="3">
        <v>2000</v>
      </c>
      <c r="AD14" s="13">
        <f>N14/AC14*AB14</f>
        <v>26.58</v>
      </c>
      <c r="AE14" s="3">
        <v>0.89870000000000005</v>
      </c>
      <c r="AF14" s="14">
        <f>AE14/N14</f>
        <v>6.7622272385252077E-2</v>
      </c>
      <c r="AG14" s="49" t="s">
        <v>131</v>
      </c>
      <c r="AH14" s="49" t="s">
        <v>131</v>
      </c>
      <c r="AI14" s="5" t="s">
        <v>145</v>
      </c>
      <c r="AJ14" s="5" t="s">
        <v>31</v>
      </c>
      <c r="AK14" s="3" t="s">
        <v>158</v>
      </c>
    </row>
    <row r="15" spans="1:40" x14ac:dyDescent="0.2">
      <c r="P15" s="48"/>
      <c r="S15" s="14"/>
      <c r="U15" s="14"/>
      <c r="V15" s="14"/>
      <c r="W15" s="14"/>
      <c r="X15" s="14"/>
      <c r="Y15" s="14"/>
      <c r="Z15" s="14"/>
    </row>
    <row r="16" spans="1:40" x14ac:dyDescent="0.2">
      <c r="T16" s="3" t="s">
        <v>159</v>
      </c>
      <c r="X16" s="14"/>
      <c r="Y16" s="14"/>
      <c r="Z16" s="14"/>
    </row>
    <row r="17" spans="1:40" s="63" customFormat="1" ht="8" customHeight="1" x14ac:dyDescent="0.2">
      <c r="A17" s="62"/>
      <c r="E17" s="64"/>
      <c r="X17" s="65"/>
      <c r="Y17" s="65"/>
      <c r="Z17" s="65"/>
      <c r="AG17" s="66"/>
      <c r="AH17" s="66"/>
      <c r="AI17" s="66"/>
      <c r="AJ17" s="66"/>
      <c r="AM17" s="67"/>
      <c r="AN17" s="68"/>
    </row>
    <row r="18" spans="1:40" x14ac:dyDescent="0.2">
      <c r="P18" s="48"/>
      <c r="S18" s="14"/>
      <c r="U18" s="14"/>
      <c r="V18" s="14"/>
      <c r="W18" s="14"/>
      <c r="X18" s="14"/>
      <c r="Y18" s="14"/>
      <c r="Z18" s="14"/>
    </row>
    <row r="19" spans="1:40" s="40" customFormat="1" ht="34" x14ac:dyDescent="0.2">
      <c r="A19" s="38" t="s">
        <v>49</v>
      </c>
      <c r="B19" s="39">
        <v>1.8E-5</v>
      </c>
      <c r="C19" s="40">
        <v>1000</v>
      </c>
      <c r="D19" s="40">
        <v>128</v>
      </c>
      <c r="E19" s="41">
        <v>5</v>
      </c>
      <c r="F19" s="40">
        <v>1.7000000000000001E-4</v>
      </c>
      <c r="G19" s="40">
        <v>0.72104749999999995</v>
      </c>
      <c r="H19" s="40">
        <v>0.85973540000000004</v>
      </c>
      <c r="I19" s="40">
        <v>1.2017E-3</v>
      </c>
      <c r="J19" s="42">
        <v>0.77986433904576757</v>
      </c>
      <c r="K19" s="70">
        <v>1.8743975519833352E-3</v>
      </c>
      <c r="L19" s="40">
        <f>G19/10</f>
        <v>7.2104749999999995E-2</v>
      </c>
      <c r="M19" s="40">
        <v>0.25</v>
      </c>
      <c r="N19" s="40">
        <v>10</v>
      </c>
      <c r="O19" s="39">
        <f>N19*O$2/B19</f>
        <v>70000000</v>
      </c>
      <c r="P19" s="71">
        <v>6</v>
      </c>
      <c r="Q19" s="40">
        <v>7</v>
      </c>
      <c r="R19" s="40">
        <v>20</v>
      </c>
      <c r="S19" s="43">
        <f>2*PI()/R19</f>
        <v>0.31415926535897931</v>
      </c>
      <c r="T19" s="40">
        <v>0.7</v>
      </c>
      <c r="U19" s="43">
        <f>SQRT(9.81/S19)</f>
        <v>5.5880407867722175</v>
      </c>
      <c r="V19" s="73">
        <f>S19*T19</f>
        <v>0.2199114857512855</v>
      </c>
      <c r="W19" s="39">
        <f>T19*1200*(T19/R19)^(4.5)</f>
        <v>2.3582263387316135E-4</v>
      </c>
      <c r="X19" s="43">
        <f>N19*0.4/LN($T$2/W19)</f>
        <v>0.27119820347079387</v>
      </c>
      <c r="Y19" s="74">
        <f>U19/X19</f>
        <v>20.605006652907306</v>
      </c>
      <c r="Z19" s="74">
        <f>U19/N19</f>
        <v>0.55880407867722171</v>
      </c>
      <c r="AA19" s="40">
        <v>0.25</v>
      </c>
      <c r="AB19" s="40">
        <v>8000</v>
      </c>
      <c r="AC19" s="40">
        <v>10100</v>
      </c>
      <c r="AD19" s="41">
        <f>N19/AC19*AB19</f>
        <v>7.9207920792079207</v>
      </c>
      <c r="AE19" s="40">
        <v>0.72519999999999996</v>
      </c>
      <c r="AF19" s="43">
        <f>AE19/N19</f>
        <v>7.2520000000000001E-2</v>
      </c>
      <c r="AG19" s="72" t="s">
        <v>131</v>
      </c>
      <c r="AH19" s="72" t="s">
        <v>131</v>
      </c>
      <c r="AI19" s="45" t="s">
        <v>155</v>
      </c>
      <c r="AJ19" s="45" t="s">
        <v>31</v>
      </c>
      <c r="AK19" s="40" t="s">
        <v>154</v>
      </c>
      <c r="AM19" s="46" t="s">
        <v>165</v>
      </c>
      <c r="AN19" s="47"/>
    </row>
    <row r="20" spans="1:40" ht="34" x14ac:dyDescent="0.2">
      <c r="A20" s="7" t="s">
        <v>51</v>
      </c>
      <c r="B20" s="12">
        <v>1.8E-5</v>
      </c>
      <c r="C20" s="3">
        <v>1000</v>
      </c>
      <c r="D20" s="3">
        <v>128</v>
      </c>
      <c r="E20" s="13">
        <v>5</v>
      </c>
      <c r="F20" s="3">
        <v>1.7000000000000001E-4</v>
      </c>
      <c r="G20" s="3">
        <v>0.72104749999999995</v>
      </c>
      <c r="H20" s="3">
        <v>0.85973540000000004</v>
      </c>
      <c r="I20" s="3">
        <v>1.2017E-3</v>
      </c>
      <c r="J20" s="11">
        <v>0.77986433904576757</v>
      </c>
      <c r="K20" s="34">
        <v>1.8743975519833352E-3</v>
      </c>
      <c r="L20" s="3">
        <f>G20/10</f>
        <v>7.2104749999999995E-2</v>
      </c>
      <c r="M20" s="3">
        <v>1</v>
      </c>
      <c r="N20" s="3">
        <v>10</v>
      </c>
      <c r="O20" s="12">
        <f>N20*O$2/B20</f>
        <v>70000000</v>
      </c>
      <c r="P20" s="48">
        <v>6</v>
      </c>
      <c r="Q20" s="3">
        <v>7</v>
      </c>
      <c r="R20" s="3">
        <v>20</v>
      </c>
      <c r="S20" s="14">
        <f>2*PI()/R20</f>
        <v>0.31415926535897931</v>
      </c>
      <c r="T20" s="3">
        <v>0.7</v>
      </c>
      <c r="U20" s="14">
        <f>SQRT(9.81/S20)</f>
        <v>5.5880407867722175</v>
      </c>
      <c r="V20" s="59">
        <f>S20*T20</f>
        <v>0.2199114857512855</v>
      </c>
      <c r="W20" s="12">
        <f>T20*1200*(T20/R20)^(4.5)</f>
        <v>2.3582263387316135E-4</v>
      </c>
      <c r="X20" s="14">
        <f>N20*0.4/LN($T$2/W20)</f>
        <v>0.27119820347079387</v>
      </c>
      <c r="Y20" s="53">
        <f>U20/X20</f>
        <v>20.605006652907306</v>
      </c>
      <c r="Z20" s="53">
        <f>U20/N20</f>
        <v>0.55880407867722171</v>
      </c>
      <c r="AA20" s="3">
        <v>0.25</v>
      </c>
      <c r="AB20" s="3">
        <v>8000</v>
      </c>
      <c r="AC20" s="3">
        <v>6500</v>
      </c>
      <c r="AD20" s="13">
        <f>N20/AC20*AB20</f>
        <v>12.307692307692308</v>
      </c>
      <c r="AE20" s="3">
        <v>0.72519999999999996</v>
      </c>
      <c r="AF20" s="14">
        <f>AE20/N20</f>
        <v>7.2520000000000001E-2</v>
      </c>
      <c r="AG20" s="69" t="s">
        <v>131</v>
      </c>
      <c r="AH20" s="69" t="s">
        <v>131</v>
      </c>
      <c r="AI20" s="16" t="s">
        <v>167</v>
      </c>
      <c r="AJ20" s="5" t="s">
        <v>31</v>
      </c>
      <c r="AK20" s="3" t="s">
        <v>43</v>
      </c>
      <c r="AM20" s="4" t="s">
        <v>166</v>
      </c>
    </row>
    <row r="21" spans="1:40" ht="34" x14ac:dyDescent="0.2">
      <c r="A21" s="7" t="s">
        <v>174</v>
      </c>
      <c r="B21" s="12">
        <v>1.8E-5</v>
      </c>
      <c r="C21" s="3">
        <v>1000</v>
      </c>
      <c r="D21" s="3">
        <v>128</v>
      </c>
      <c r="E21" s="13">
        <v>5</v>
      </c>
      <c r="F21" s="3">
        <v>1.7000000000000001E-4</v>
      </c>
      <c r="G21" s="3">
        <v>0.72104749999999995</v>
      </c>
      <c r="H21" s="3">
        <v>0.85973540000000004</v>
      </c>
      <c r="I21" s="3">
        <v>1.2017E-3</v>
      </c>
      <c r="J21" s="11">
        <v>0.77986433904576757</v>
      </c>
      <c r="K21" s="34">
        <v>1.8743975519833352E-3</v>
      </c>
      <c r="L21" s="3">
        <f>G21/10</f>
        <v>7.2104749999999995E-2</v>
      </c>
      <c r="M21" s="3">
        <v>1</v>
      </c>
      <c r="N21" s="3">
        <v>10</v>
      </c>
      <c r="O21" s="12">
        <f>N21*O$2/B21</f>
        <v>70000000</v>
      </c>
      <c r="P21" s="48">
        <v>6</v>
      </c>
      <c r="Q21" s="3">
        <v>7</v>
      </c>
      <c r="R21" s="3">
        <v>20</v>
      </c>
      <c r="S21" s="14">
        <f>2*PI()/R21</f>
        <v>0.31415926535897931</v>
      </c>
      <c r="T21" s="3">
        <v>1.0000000000000001E-5</v>
      </c>
      <c r="U21" s="14">
        <v>0</v>
      </c>
      <c r="V21" s="59">
        <f>S21*T21</f>
        <v>3.1415926535897933E-6</v>
      </c>
      <c r="W21" s="12">
        <f>T21*1200*(T21/R21)^(4.5)</f>
        <v>5.3033008588991494E-31</v>
      </c>
      <c r="X21" s="14">
        <f>N21*0.4/LN($T$2/W21)</f>
        <v>5.2556383136139216E-2</v>
      </c>
      <c r="Y21" s="53">
        <f>U21/X21</f>
        <v>0</v>
      </c>
      <c r="Z21" s="53">
        <f>U21/N21</f>
        <v>0</v>
      </c>
      <c r="AA21" s="3">
        <v>0.25</v>
      </c>
      <c r="AB21" s="3">
        <v>8000</v>
      </c>
      <c r="AC21" s="3">
        <v>10100</v>
      </c>
      <c r="AD21" s="13">
        <f>N21/AC21*AB21</f>
        <v>7.9207920792079207</v>
      </c>
      <c r="AE21" s="3">
        <v>0.72519999999999996</v>
      </c>
      <c r="AF21" s="14">
        <f>AE21/N21</f>
        <v>7.2520000000000001E-2</v>
      </c>
      <c r="AG21" s="69" t="s">
        <v>131</v>
      </c>
      <c r="AH21" s="69" t="s">
        <v>131</v>
      </c>
      <c r="AI21" s="5" t="s">
        <v>181</v>
      </c>
      <c r="AJ21" s="5" t="s">
        <v>141</v>
      </c>
      <c r="AK21" s="3" t="s">
        <v>154</v>
      </c>
      <c r="AM21" s="4" t="s">
        <v>177</v>
      </c>
    </row>
    <row r="22" spans="1:40" ht="34" x14ac:dyDescent="0.2">
      <c r="A22" s="7" t="s">
        <v>175</v>
      </c>
      <c r="B22" s="12">
        <v>1.8E-5</v>
      </c>
      <c r="C22" s="3">
        <v>1000</v>
      </c>
      <c r="D22" s="3">
        <v>128</v>
      </c>
      <c r="E22" s="13">
        <v>5</v>
      </c>
      <c r="F22" s="3">
        <v>1.7000000000000001E-4</v>
      </c>
      <c r="G22" s="3">
        <v>0.72104749999999995</v>
      </c>
      <c r="H22" s="3">
        <v>0.85973540000000004</v>
      </c>
      <c r="I22" s="3">
        <v>1.2017E-3</v>
      </c>
      <c r="J22" s="11">
        <v>0.77986433904576757</v>
      </c>
      <c r="K22" s="34">
        <v>1.8743975519833352E-3</v>
      </c>
      <c r="L22" s="3">
        <f>G22/10</f>
        <v>7.2104749999999995E-2</v>
      </c>
      <c r="M22" s="3">
        <v>1</v>
      </c>
      <c r="N22" s="3">
        <v>10</v>
      </c>
      <c r="O22" s="12">
        <f>N22*O$2/B22</f>
        <v>70000000</v>
      </c>
      <c r="P22" s="48">
        <v>6</v>
      </c>
      <c r="Q22" s="3">
        <v>7</v>
      </c>
      <c r="R22" s="3">
        <v>20</v>
      </c>
      <c r="S22" s="14">
        <f>2*PI()/R22</f>
        <v>0.31415926535897931</v>
      </c>
      <c r="T22" s="3">
        <v>1.0000000000000001E-5</v>
      </c>
      <c r="U22" s="14">
        <v>0</v>
      </c>
      <c r="V22" s="59">
        <f>S22*T22</f>
        <v>3.1415926535897933E-6</v>
      </c>
      <c r="W22" s="12">
        <f>T22*1200*(T22/R22)^(4.5)</f>
        <v>5.3033008588991494E-31</v>
      </c>
      <c r="X22" s="14">
        <f>N22*0.4/LN($T$2/W22)</f>
        <v>5.2556383136139216E-2</v>
      </c>
      <c r="Y22" s="53">
        <f>U22/X22</f>
        <v>0</v>
      </c>
      <c r="Z22" s="53">
        <f>U22/N22</f>
        <v>0</v>
      </c>
      <c r="AA22" s="3">
        <v>0.25</v>
      </c>
      <c r="AB22" s="3">
        <v>8000</v>
      </c>
      <c r="AC22" s="3">
        <v>6500</v>
      </c>
      <c r="AD22" s="13">
        <f>N22/AC22*AB22</f>
        <v>12.307692307692308</v>
      </c>
      <c r="AE22" s="3">
        <v>0.72519999999999996</v>
      </c>
      <c r="AF22" s="14">
        <f>AE22/N22</f>
        <v>7.2520000000000001E-2</v>
      </c>
      <c r="AG22" s="69" t="s">
        <v>131</v>
      </c>
      <c r="AH22" s="69" t="s">
        <v>131</v>
      </c>
      <c r="AI22" s="16" t="s">
        <v>180</v>
      </c>
      <c r="AJ22" s="5" t="s">
        <v>141</v>
      </c>
      <c r="AK22" s="3" t="s">
        <v>43</v>
      </c>
      <c r="AM22" s="4" t="s">
        <v>178</v>
      </c>
    </row>
    <row r="23" spans="1:40" ht="7" customHeight="1" thickBot="1" x14ac:dyDescent="0.25">
      <c r="B23" s="12"/>
      <c r="J23" s="11"/>
      <c r="K23" s="34"/>
      <c r="O23" s="12"/>
      <c r="P23" s="48"/>
      <c r="S23" s="14"/>
      <c r="U23" s="14"/>
      <c r="V23" s="58"/>
      <c r="W23" s="12"/>
      <c r="X23" s="14"/>
      <c r="Y23" s="75"/>
      <c r="Z23" s="75"/>
      <c r="AD23" s="13"/>
      <c r="AF23" s="14"/>
      <c r="AG23" s="69"/>
      <c r="AH23" s="69"/>
      <c r="AI23" s="16"/>
    </row>
    <row r="24" spans="1:40" ht="35" thickBot="1" x14ac:dyDescent="0.25">
      <c r="A24" s="95" t="s">
        <v>67</v>
      </c>
      <c r="B24" s="12">
        <v>1.8E-5</v>
      </c>
      <c r="C24" s="3">
        <v>1000</v>
      </c>
      <c r="D24" s="3">
        <v>128</v>
      </c>
      <c r="E24" s="13">
        <v>5</v>
      </c>
      <c r="F24" s="3">
        <v>1.3999999999999999E-4</v>
      </c>
      <c r="G24" s="3">
        <v>0.9340965</v>
      </c>
      <c r="H24" s="3">
        <v>0.75535459999999999</v>
      </c>
      <c r="I24" s="3">
        <v>1.5567999999999999E-3</v>
      </c>
      <c r="J24" s="11">
        <v>1.3088</v>
      </c>
      <c r="K24" s="34">
        <v>4.0752000000000002E-3</v>
      </c>
      <c r="L24" s="3">
        <f>G24/10</f>
        <v>9.3409649999999997E-2</v>
      </c>
      <c r="M24" s="3">
        <v>0.25</v>
      </c>
      <c r="N24" s="3">
        <v>10</v>
      </c>
      <c r="O24" s="12">
        <f>N24*O$2/B24</f>
        <v>70000000</v>
      </c>
      <c r="P24" s="48">
        <v>6</v>
      </c>
      <c r="Q24" s="3">
        <v>7</v>
      </c>
      <c r="R24" s="3">
        <v>20</v>
      </c>
      <c r="S24" s="14">
        <f>2*PI()/R24</f>
        <v>0.31415926535897931</v>
      </c>
      <c r="T24" s="3">
        <v>0.7</v>
      </c>
      <c r="U24" s="14">
        <f>SQRT(9.81/S24)</f>
        <v>5.5880407867722175</v>
      </c>
      <c r="V24" s="59">
        <f>S24*T24</f>
        <v>0.2199114857512855</v>
      </c>
      <c r="W24" s="12">
        <f>T24*1200*(T24/R24)^(4.5)</f>
        <v>2.3582263387316135E-4</v>
      </c>
      <c r="X24" s="14">
        <f>N24*0.4/LN($T$2/W24)</f>
        <v>0.27119820347079387</v>
      </c>
      <c r="Y24" s="53">
        <f>U24/X24</f>
        <v>20.605006652907306</v>
      </c>
      <c r="Z24" s="53">
        <f>U24/N24</f>
        <v>0.55880407867722171</v>
      </c>
      <c r="AA24" s="3">
        <v>0.25</v>
      </c>
      <c r="AB24" s="3">
        <v>8000</v>
      </c>
      <c r="AC24" s="3">
        <v>10100</v>
      </c>
      <c r="AD24" s="13">
        <f>N24/AC24*AB24</f>
        <v>7.9207920792079207</v>
      </c>
      <c r="AE24" s="3">
        <v>0.89870000000000005</v>
      </c>
      <c r="AF24" s="76">
        <f>AE24/N24</f>
        <v>8.9870000000000005E-2</v>
      </c>
      <c r="AG24" s="69" t="s">
        <v>159</v>
      </c>
      <c r="AH24" s="69"/>
      <c r="AI24" s="16" t="s">
        <v>171</v>
      </c>
      <c r="AJ24" s="5" t="s">
        <v>31</v>
      </c>
      <c r="AK24" s="3" t="s">
        <v>39</v>
      </c>
      <c r="AM24" s="4" t="s">
        <v>169</v>
      </c>
    </row>
    <row r="25" spans="1:40" ht="35" thickBot="1" x14ac:dyDescent="0.25">
      <c r="A25" s="95" t="s">
        <v>70</v>
      </c>
      <c r="B25" s="12">
        <v>1.8E-5</v>
      </c>
      <c r="C25" s="3">
        <v>1000</v>
      </c>
      <c r="D25" s="3">
        <v>128</v>
      </c>
      <c r="E25" s="13">
        <v>5</v>
      </c>
      <c r="F25" s="3">
        <v>1.3999999999999999E-4</v>
      </c>
      <c r="G25" s="3">
        <v>0.9340965</v>
      </c>
      <c r="H25" s="3">
        <v>0.75535459999999999</v>
      </c>
      <c r="I25" s="3">
        <v>1.5567999999999999E-3</v>
      </c>
      <c r="J25" s="11">
        <v>1.3088</v>
      </c>
      <c r="K25" s="34">
        <v>4.0752000000000002E-3</v>
      </c>
      <c r="L25" s="3">
        <f>G25/N25</f>
        <v>7.2131003861003865E-2</v>
      </c>
      <c r="M25" s="3">
        <v>0.25</v>
      </c>
      <c r="N25" s="3">
        <v>12.95</v>
      </c>
      <c r="O25" s="12">
        <f>N25*O$2/B25</f>
        <v>90649999.999999985</v>
      </c>
      <c r="P25" s="48">
        <v>6</v>
      </c>
      <c r="Q25" s="3">
        <v>7</v>
      </c>
      <c r="R25" s="3">
        <v>20</v>
      </c>
      <c r="S25" s="14">
        <f>2*PI()/R25</f>
        <v>0.31415926535897931</v>
      </c>
      <c r="T25" s="3">
        <v>0.7</v>
      </c>
      <c r="U25" s="14">
        <f>SQRT(9.81/S25)</f>
        <v>5.5880407867722175</v>
      </c>
      <c r="V25" s="59">
        <f>S25*T25</f>
        <v>0.2199114857512855</v>
      </c>
      <c r="W25" s="12">
        <f>T25*1200*(T25/R25)^(4.5)</f>
        <v>2.3582263387316135E-4</v>
      </c>
      <c r="X25" s="14">
        <f>N25*0.4/LN($T$2/W25)</f>
        <v>0.35120167349467807</v>
      </c>
      <c r="Y25" s="53">
        <f>U25/X25</f>
        <v>15.911202048577072</v>
      </c>
      <c r="Z25" s="78">
        <f>U25/N25</f>
        <v>0.43150894106349175</v>
      </c>
      <c r="AA25" s="3">
        <v>0.25</v>
      </c>
      <c r="AB25" s="3">
        <v>8000</v>
      </c>
      <c r="AC25" s="3">
        <v>10100</v>
      </c>
      <c r="AD25" s="13">
        <f>N25/AC25*AB25</f>
        <v>10.257425742574256</v>
      </c>
      <c r="AE25" s="3">
        <v>0.89870000000000005</v>
      </c>
      <c r="AF25" s="14">
        <f>AE25/N25</f>
        <v>6.9397683397683402E-2</v>
      </c>
      <c r="AI25" s="16" t="s">
        <v>172</v>
      </c>
      <c r="AJ25" s="5" t="s">
        <v>31</v>
      </c>
      <c r="AK25" s="3" t="s">
        <v>44</v>
      </c>
      <c r="AM25" s="4" t="s">
        <v>168</v>
      </c>
    </row>
    <row r="26" spans="1:40" ht="35" thickBot="1" x14ac:dyDescent="0.25">
      <c r="A26" s="95" t="s">
        <v>72</v>
      </c>
      <c r="B26" s="12">
        <v>1.8E-5</v>
      </c>
      <c r="C26" s="3">
        <v>1000</v>
      </c>
      <c r="D26" s="3">
        <v>128</v>
      </c>
      <c r="E26" s="13">
        <v>5</v>
      </c>
      <c r="F26" s="3">
        <v>1.7000000000000001E-4</v>
      </c>
      <c r="G26" s="3">
        <v>0.72104749999999995</v>
      </c>
      <c r="H26" s="3">
        <v>0.85973540000000004</v>
      </c>
      <c r="I26" s="3">
        <v>1.2017E-3</v>
      </c>
      <c r="J26" s="11">
        <v>0.77986433904576757</v>
      </c>
      <c r="K26" s="34">
        <v>1.8743975519833352E-3</v>
      </c>
      <c r="L26" s="3">
        <f>G26/N26</f>
        <v>7.2104749999999995E-2</v>
      </c>
      <c r="M26" s="3">
        <v>0.25</v>
      </c>
      <c r="N26" s="3">
        <v>10</v>
      </c>
      <c r="O26" s="12">
        <f>N26*O$2/B26</f>
        <v>70000000</v>
      </c>
      <c r="P26" s="48">
        <v>6</v>
      </c>
      <c r="Q26" s="3">
        <v>7</v>
      </c>
      <c r="R26" s="3">
        <v>20</v>
      </c>
      <c r="S26" s="14">
        <f>2*PI()/R26</f>
        <v>0.31415926535897931</v>
      </c>
      <c r="T26" s="3">
        <v>0.5</v>
      </c>
      <c r="U26" s="14">
        <f>SQRT(9.81/S26)</f>
        <v>5.5880407867722175</v>
      </c>
      <c r="V26" s="77">
        <f>S26*T26</f>
        <v>0.15707963267948966</v>
      </c>
      <c r="W26" s="12">
        <f>T26*1200*(T26/R26)^(4.5)</f>
        <v>3.7057941330098249E-5</v>
      </c>
      <c r="X26" s="14">
        <f>N26*0.4/LN($T$2/W26)</f>
        <v>0.2409644717171705</v>
      </c>
      <c r="Y26" s="53">
        <f>U26/X26</f>
        <v>23.190309952959044</v>
      </c>
      <c r="Z26" s="53">
        <f>U26/N26</f>
        <v>0.55880407867722171</v>
      </c>
      <c r="AA26" s="3">
        <v>0.25</v>
      </c>
      <c r="AB26" s="3">
        <v>8000</v>
      </c>
      <c r="AC26" s="3">
        <v>10100</v>
      </c>
      <c r="AD26" s="13">
        <f>N26/AC26*AB26</f>
        <v>7.9207920792079207</v>
      </c>
      <c r="AE26" s="3">
        <v>0.72519999999999996</v>
      </c>
      <c r="AF26" s="14">
        <f>AE26/N26</f>
        <v>7.2520000000000001E-2</v>
      </c>
      <c r="AG26" s="49" t="s">
        <v>131</v>
      </c>
      <c r="AH26" s="49" t="s">
        <v>131</v>
      </c>
      <c r="AI26" s="16" t="s">
        <v>173</v>
      </c>
      <c r="AJ26" s="5" t="s">
        <v>31</v>
      </c>
      <c r="AK26" s="3" t="s">
        <v>57</v>
      </c>
      <c r="AM26" s="4" t="s">
        <v>170</v>
      </c>
    </row>
    <row r="27" spans="1:40" ht="35" thickBot="1" x14ac:dyDescent="0.25">
      <c r="A27" s="7" t="s">
        <v>74</v>
      </c>
      <c r="B27" s="12">
        <v>1.8E-5</v>
      </c>
      <c r="C27" s="3">
        <v>1000</v>
      </c>
      <c r="D27" s="3">
        <v>128</v>
      </c>
      <c r="E27" s="13">
        <v>5</v>
      </c>
      <c r="F27" s="3">
        <v>1.7000000000000001E-4</v>
      </c>
      <c r="G27" s="3">
        <v>0.72104749999999995</v>
      </c>
      <c r="H27" s="3">
        <v>0.85973540000000004</v>
      </c>
      <c r="I27" s="3">
        <v>1.2017E-3</v>
      </c>
      <c r="J27" s="11">
        <v>0.77986433904576757</v>
      </c>
      <c r="K27" s="34">
        <v>1.8743975519833352E-3</v>
      </c>
      <c r="L27" s="3">
        <f>G27/N27</f>
        <v>7.2104749999999995E-2</v>
      </c>
      <c r="M27" s="3">
        <v>0.25</v>
      </c>
      <c r="N27" s="3">
        <v>10</v>
      </c>
      <c r="O27" s="12">
        <f>N27*O$2/B27</f>
        <v>70000000</v>
      </c>
      <c r="P27" s="48">
        <v>6</v>
      </c>
      <c r="Q27" s="3">
        <v>7</v>
      </c>
      <c r="R27" s="3">
        <v>20</v>
      </c>
      <c r="S27" s="14">
        <f>2*PI()/R27</f>
        <v>0.31415926535897931</v>
      </c>
      <c r="T27" s="3">
        <v>0.32</v>
      </c>
      <c r="U27" s="14">
        <f>SQRT(9.81/S27)</f>
        <v>5.5880407867722175</v>
      </c>
      <c r="V27" s="77">
        <f>S27*T27</f>
        <v>0.10053096491487339</v>
      </c>
      <c r="W27" s="12">
        <f>T27*1200*(T27/R27)^(4.5)</f>
        <v>3.1832529213971668E-6</v>
      </c>
      <c r="X27" s="14">
        <f>N27*0.4/LN($T$2/W27)</f>
        <v>0.20992376158479303</v>
      </c>
      <c r="Y27" s="53">
        <f>U27/X27</f>
        <v>26.619381934593807</v>
      </c>
      <c r="Z27" s="53">
        <f>U27/N27</f>
        <v>0.55880407867722171</v>
      </c>
      <c r="AA27" s="3">
        <v>0.25</v>
      </c>
      <c r="AB27" s="3">
        <v>8000</v>
      </c>
      <c r="AC27" s="3">
        <v>10100</v>
      </c>
      <c r="AD27" s="13">
        <f>N27/AC27*AB27</f>
        <v>7.9207920792079207</v>
      </c>
      <c r="AE27" s="3">
        <v>0.72519999999999996</v>
      </c>
      <c r="AF27" s="14">
        <f>AE27/N27</f>
        <v>7.2520000000000001E-2</v>
      </c>
      <c r="AG27" s="49" t="s">
        <v>131</v>
      </c>
      <c r="AH27" s="49" t="s">
        <v>131</v>
      </c>
      <c r="AI27" s="16" t="s">
        <v>182</v>
      </c>
      <c r="AJ27" s="5" t="s">
        <v>141</v>
      </c>
      <c r="AK27" s="3" t="s">
        <v>58</v>
      </c>
      <c r="AM27" s="4" t="s">
        <v>176</v>
      </c>
    </row>
    <row r="28" spans="1:40" ht="35" thickBot="1" x14ac:dyDescent="0.25">
      <c r="A28" s="7" t="s">
        <v>76</v>
      </c>
      <c r="B28" s="12">
        <v>1.8E-5</v>
      </c>
      <c r="C28" s="3">
        <v>1000</v>
      </c>
      <c r="D28" s="3">
        <v>128</v>
      </c>
      <c r="E28" s="13">
        <v>5</v>
      </c>
      <c r="F28" s="3">
        <v>1.7000000000000001E-4</v>
      </c>
      <c r="G28" s="3">
        <v>0.72104749999999995</v>
      </c>
      <c r="H28" s="3">
        <v>0.85973540000000004</v>
      </c>
      <c r="I28" s="3">
        <v>1.2017E-3</v>
      </c>
      <c r="J28" s="11">
        <v>0.77986433904576757</v>
      </c>
      <c r="K28" s="34">
        <v>1.8743975519833352E-3</v>
      </c>
      <c r="L28" s="3">
        <f>G28/10</f>
        <v>7.2104749999999995E-2</v>
      </c>
      <c r="M28" s="3">
        <v>0.25</v>
      </c>
      <c r="N28" s="3">
        <v>10</v>
      </c>
      <c r="O28" s="12">
        <f>N28*O$2/B28</f>
        <v>70000000</v>
      </c>
      <c r="P28" s="48">
        <v>6</v>
      </c>
      <c r="Q28" s="3">
        <v>7</v>
      </c>
      <c r="R28" s="3">
        <v>20</v>
      </c>
      <c r="S28" s="14">
        <f>2*PI()/R28</f>
        <v>0.31415926535897931</v>
      </c>
      <c r="T28" s="3">
        <v>0.7</v>
      </c>
      <c r="U28" s="14">
        <f>SQRT(9.81/S28)</f>
        <v>5.5880407867722175</v>
      </c>
      <c r="V28" s="59">
        <f>S28*T28</f>
        <v>0.2199114857512855</v>
      </c>
      <c r="W28" s="12">
        <f>T28*1200*(T28/R28)^(4.5)</f>
        <v>2.3582263387316135E-4</v>
      </c>
      <c r="X28" s="14">
        <f>N28*0.4/LN($T$2/W28)</f>
        <v>0.27119820347079387</v>
      </c>
      <c r="Y28" s="53">
        <f>U28/X28</f>
        <v>20.605006652907306</v>
      </c>
      <c r="Z28" s="53">
        <f>U28/N28</f>
        <v>0.55880407867722171</v>
      </c>
      <c r="AA28" s="3">
        <v>0.25</v>
      </c>
      <c r="AB28" s="3">
        <v>8000</v>
      </c>
      <c r="AC28" s="3">
        <v>6500</v>
      </c>
      <c r="AD28" s="13">
        <f>N28/AC28*AB28</f>
        <v>12.307692307692308</v>
      </c>
      <c r="AE28" s="3">
        <v>0.89870000000000005</v>
      </c>
      <c r="AF28" s="76">
        <f>AE28/N28</f>
        <v>8.9870000000000005E-2</v>
      </c>
      <c r="AG28" s="69" t="s">
        <v>131</v>
      </c>
      <c r="AH28" s="69" t="s">
        <v>131</v>
      </c>
      <c r="AI28" s="16" t="s">
        <v>183</v>
      </c>
      <c r="AJ28" s="5" t="s">
        <v>141</v>
      </c>
      <c r="AK28" s="3" t="s">
        <v>158</v>
      </c>
      <c r="AM28" s="4" t="s">
        <v>179</v>
      </c>
    </row>
    <row r="29" spans="1:40" ht="9" customHeight="1" x14ac:dyDescent="0.2">
      <c r="B29" s="12"/>
      <c r="J29" s="11"/>
      <c r="K29" s="34"/>
      <c r="O29" s="12"/>
      <c r="P29" s="48"/>
      <c r="S29" s="14"/>
      <c r="U29" s="14"/>
      <c r="V29" s="58"/>
      <c r="W29" s="12"/>
      <c r="X29" s="14"/>
      <c r="Y29" s="75"/>
      <c r="Z29" s="75"/>
      <c r="AI29" s="16"/>
    </row>
    <row r="30" spans="1:40" s="81" customFormat="1" x14ac:dyDescent="0.2">
      <c r="A30" s="79" t="s">
        <v>74</v>
      </c>
      <c r="B30" s="80">
        <v>1.8E-5</v>
      </c>
      <c r="C30" s="81">
        <v>1000</v>
      </c>
      <c r="D30" s="81">
        <v>128</v>
      </c>
      <c r="E30" s="82">
        <v>5</v>
      </c>
      <c r="F30" s="81">
        <v>1.7000000000000001E-4</v>
      </c>
      <c r="G30" s="81">
        <v>0.72104749999999995</v>
      </c>
      <c r="H30" s="81">
        <v>0.85973540000000004</v>
      </c>
      <c r="I30" s="81">
        <v>1.2017E-3</v>
      </c>
      <c r="J30" s="83">
        <v>0.77986433904576757</v>
      </c>
      <c r="K30" s="83">
        <v>1.8743975519833352E-3</v>
      </c>
      <c r="L30" s="81">
        <f>G30/N30</f>
        <v>7.2104749999999995E-2</v>
      </c>
      <c r="M30" s="81">
        <v>1</v>
      </c>
      <c r="N30" s="81">
        <v>10</v>
      </c>
      <c r="O30" s="80">
        <f>N30*O$2/B30</f>
        <v>70000000</v>
      </c>
      <c r="P30" s="84">
        <v>6</v>
      </c>
      <c r="Q30" s="81">
        <v>7</v>
      </c>
      <c r="R30" s="81">
        <v>60</v>
      </c>
      <c r="S30" s="85">
        <f>2*PI()/R30</f>
        <v>0.10471975511965977</v>
      </c>
      <c r="T30" s="81">
        <v>1.8</v>
      </c>
      <c r="U30" s="85">
        <f>SQRT(9.81/S30)</f>
        <v>9.6787705574566445</v>
      </c>
      <c r="V30" s="86">
        <f>S30*T30</f>
        <v>0.18849555921538758</v>
      </c>
      <c r="W30" s="80">
        <f>T30*1200*(T30/R30)^(4.5)</f>
        <v>3.0303960929225051E-4</v>
      </c>
      <c r="X30" s="85">
        <f>N30*0.4/LN($T$2/W30)</f>
        <v>0.27588915000706782</v>
      </c>
      <c r="Y30" s="87">
        <f>U30/X30</f>
        <v>35.08209930404545</v>
      </c>
      <c r="Z30" s="87">
        <f>U30/N30</f>
        <v>0.96787705574566441</v>
      </c>
      <c r="AA30" s="81">
        <v>0.5</v>
      </c>
      <c r="AB30" s="81">
        <v>13000</v>
      </c>
      <c r="AC30" s="81">
        <v>10100</v>
      </c>
      <c r="AD30" s="82">
        <f>N30/AC30*AB30</f>
        <v>12.871287128712872</v>
      </c>
      <c r="AE30" s="81">
        <v>0.72519999999999996</v>
      </c>
      <c r="AF30" s="85">
        <f>AE30/N30</f>
        <v>7.2520000000000001E-2</v>
      </c>
      <c r="AG30" s="88"/>
      <c r="AH30" s="88"/>
      <c r="AI30" s="89"/>
      <c r="AJ30" s="90"/>
      <c r="AM30" s="91"/>
      <c r="AN30" s="92"/>
    </row>
    <row r="31" spans="1:40" s="81" customFormat="1" x14ac:dyDescent="0.2">
      <c r="A31" s="79" t="s">
        <v>76</v>
      </c>
      <c r="B31" s="80">
        <v>1.8E-5</v>
      </c>
      <c r="C31" s="81">
        <v>1000</v>
      </c>
      <c r="D31" s="81">
        <v>128</v>
      </c>
      <c r="E31" s="82">
        <v>5</v>
      </c>
      <c r="F31" s="81">
        <v>1.7000000000000001E-4</v>
      </c>
      <c r="G31" s="81">
        <v>0.72104749999999995</v>
      </c>
      <c r="H31" s="81">
        <v>0.85973540000000004</v>
      </c>
      <c r="I31" s="81">
        <v>1.2017E-3</v>
      </c>
      <c r="J31" s="83">
        <v>0.77986433904576757</v>
      </c>
      <c r="K31" s="83">
        <v>1.8743975519833352E-3</v>
      </c>
      <c r="L31" s="81">
        <f>G31/N31</f>
        <v>7.2104749999999995E-2</v>
      </c>
      <c r="M31" s="81">
        <v>1</v>
      </c>
      <c r="N31" s="81">
        <v>10</v>
      </c>
      <c r="O31" s="80">
        <f>N31*O$2/B31</f>
        <v>70000000</v>
      </c>
      <c r="P31" s="84">
        <v>6</v>
      </c>
      <c r="Q31" s="81">
        <v>7</v>
      </c>
      <c r="R31" s="81">
        <v>60</v>
      </c>
      <c r="S31" s="85">
        <f>2*PI()/R31</f>
        <v>0.10471975511965977</v>
      </c>
      <c r="T31" s="81">
        <v>1.8</v>
      </c>
      <c r="U31" s="85">
        <f>SQRT(9.81/S31)</f>
        <v>9.6787705574566445</v>
      </c>
      <c r="V31" s="86">
        <f>S31*T31</f>
        <v>0.18849555921538758</v>
      </c>
      <c r="W31" s="80">
        <f>T31*1200*(T31/R31)^(4.5)</f>
        <v>3.0303960929225051E-4</v>
      </c>
      <c r="X31" s="85">
        <f>N31*0.4/LN($T$2/W31)</f>
        <v>0.27588915000706782</v>
      </c>
      <c r="Y31" s="87">
        <f>U31/X31</f>
        <v>35.08209930404545</v>
      </c>
      <c r="Z31" s="87">
        <f>U31/N31</f>
        <v>0.96787705574566441</v>
      </c>
      <c r="AA31" s="81" t="s">
        <v>159</v>
      </c>
      <c r="AB31" s="81">
        <v>13000</v>
      </c>
      <c r="AC31" s="81">
        <v>10100</v>
      </c>
      <c r="AD31" s="82">
        <f>N31/AC31*AB31</f>
        <v>12.871287128712872</v>
      </c>
      <c r="AE31" s="81">
        <v>0.72519999999999996</v>
      </c>
      <c r="AF31" s="85">
        <f>AE31/N31</f>
        <v>7.2520000000000001E-2</v>
      </c>
      <c r="AG31" s="88"/>
      <c r="AH31" s="88"/>
      <c r="AI31" s="89"/>
      <c r="AJ31" s="90"/>
      <c r="AM31" s="91"/>
      <c r="AN31" s="92"/>
    </row>
    <row r="32" spans="1:40" s="81" customFormat="1" x14ac:dyDescent="0.2">
      <c r="A32" s="79" t="s">
        <v>77</v>
      </c>
      <c r="B32" s="80">
        <v>1.8E-5</v>
      </c>
      <c r="C32" s="81">
        <v>1000</v>
      </c>
      <c r="D32" s="81">
        <v>128</v>
      </c>
      <c r="E32" s="82">
        <v>5</v>
      </c>
      <c r="F32" s="81">
        <v>1.7000000000000001E-4</v>
      </c>
      <c r="G32" s="81">
        <v>0.72104749999999995</v>
      </c>
      <c r="H32" s="81">
        <v>0.85973540000000004</v>
      </c>
      <c r="I32" s="81">
        <v>1.2017E-3</v>
      </c>
      <c r="J32" s="83">
        <v>0.77986433904576757</v>
      </c>
      <c r="K32" s="83">
        <v>1.8743975519833352E-3</v>
      </c>
      <c r="L32" s="81">
        <f>G32/N32</f>
        <v>7.2104749999999995E-2</v>
      </c>
      <c r="M32" s="81">
        <v>1</v>
      </c>
      <c r="N32" s="81">
        <v>10</v>
      </c>
      <c r="O32" s="80">
        <f>N32*O$2/B32</f>
        <v>70000000</v>
      </c>
      <c r="P32" s="84">
        <v>6</v>
      </c>
      <c r="Q32" s="81">
        <v>7</v>
      </c>
      <c r="R32" s="81">
        <v>60</v>
      </c>
      <c r="S32" s="85">
        <f>2*PI()/R32</f>
        <v>0.10471975511965977</v>
      </c>
      <c r="T32" s="81">
        <v>1.8</v>
      </c>
      <c r="U32" s="85">
        <f>SQRT(9.81/S32)</f>
        <v>9.6787705574566445</v>
      </c>
      <c r="V32" s="86">
        <f>S32*T32</f>
        <v>0.18849555921538758</v>
      </c>
      <c r="W32" s="80">
        <f>T32*1200*(T32/R32)^(4.5)</f>
        <v>3.0303960929225051E-4</v>
      </c>
      <c r="X32" s="85">
        <f>N32*0.4/LN($T$2/W32)</f>
        <v>0.27588915000706782</v>
      </c>
      <c r="Y32" s="87">
        <f>U32/X32</f>
        <v>35.08209930404545</v>
      </c>
      <c r="Z32" s="87">
        <f>U32/N32</f>
        <v>0.96787705574566441</v>
      </c>
      <c r="AA32" s="81">
        <v>0.5</v>
      </c>
      <c r="AB32" s="81">
        <v>13000</v>
      </c>
      <c r="AC32" s="81">
        <v>10100</v>
      </c>
      <c r="AD32" s="82">
        <f>N32/AC32*AB32</f>
        <v>12.871287128712872</v>
      </c>
      <c r="AE32" s="81">
        <v>0.72519999999999996</v>
      </c>
      <c r="AF32" s="85">
        <f>AE32/N32</f>
        <v>7.2520000000000001E-2</v>
      </c>
      <c r="AG32" s="88"/>
      <c r="AH32" s="88"/>
      <c r="AI32" s="89"/>
      <c r="AJ32" s="90"/>
      <c r="AM32" s="91"/>
      <c r="AN32" s="92"/>
    </row>
    <row r="33" spans="1:40" s="81" customFormat="1" ht="8" customHeight="1" x14ac:dyDescent="0.2">
      <c r="A33" s="79"/>
      <c r="B33" s="80"/>
      <c r="E33" s="82"/>
      <c r="J33" s="83"/>
      <c r="K33" s="83"/>
      <c r="O33" s="80"/>
      <c r="P33" s="84"/>
      <c r="S33" s="93"/>
      <c r="U33" s="85"/>
      <c r="V33" s="93"/>
      <c r="W33" s="80"/>
      <c r="X33" s="85"/>
      <c r="Y33" s="94"/>
      <c r="Z33" s="94"/>
      <c r="AD33" s="82"/>
      <c r="AF33" s="85"/>
      <c r="AG33" s="88"/>
      <c r="AH33" s="88"/>
      <c r="AI33" s="89"/>
      <c r="AJ33" s="90"/>
      <c r="AM33" s="91"/>
      <c r="AN33" s="92"/>
    </row>
    <row r="34" spans="1:40" s="81" customFormat="1" x14ac:dyDescent="0.2">
      <c r="A34" s="79" t="s">
        <v>49</v>
      </c>
      <c r="B34" s="80">
        <v>1.8E-5</v>
      </c>
      <c r="C34" s="81">
        <v>1000</v>
      </c>
      <c r="D34" s="81">
        <v>128</v>
      </c>
      <c r="E34" s="82">
        <v>5</v>
      </c>
      <c r="F34" s="81">
        <v>1.7000000000000001E-4</v>
      </c>
      <c r="G34" s="81">
        <v>0.72104749999999995</v>
      </c>
      <c r="H34" s="81">
        <v>0.85973540000000004</v>
      </c>
      <c r="I34" s="81">
        <v>1.2017E-3</v>
      </c>
      <c r="J34" s="83">
        <v>0.77986433904576757</v>
      </c>
      <c r="K34" s="83">
        <v>1.8743975519833352E-3</v>
      </c>
      <c r="L34" s="81">
        <f>G34/N34</f>
        <v>7.2104749999999995E-2</v>
      </c>
      <c r="M34" s="81">
        <v>1</v>
      </c>
      <c r="N34" s="81">
        <v>10</v>
      </c>
      <c r="O34" s="80">
        <f>N34*O$2/B34</f>
        <v>70000000</v>
      </c>
      <c r="P34" s="84">
        <v>6</v>
      </c>
      <c r="Q34" s="81">
        <v>7</v>
      </c>
      <c r="R34" s="81">
        <v>20</v>
      </c>
      <c r="S34" s="85">
        <f>2*PI()/R34</f>
        <v>0.31415926535897931</v>
      </c>
      <c r="T34" s="81">
        <v>0.7</v>
      </c>
      <c r="U34" s="85">
        <f>SQRT(9.81/S34)</f>
        <v>5.5880407867722175</v>
      </c>
      <c r="V34" s="86">
        <f>S34*T34</f>
        <v>0.2199114857512855</v>
      </c>
      <c r="W34" s="80">
        <f>T34*1200*(T34/R34)^(4.5)</f>
        <v>2.3582263387316135E-4</v>
      </c>
      <c r="X34" s="85">
        <f>N34*0.4/LN($T$2/W34)</f>
        <v>0.27119820347079387</v>
      </c>
      <c r="Y34" s="87">
        <f>U34/X34</f>
        <v>20.605006652907306</v>
      </c>
      <c r="Z34" s="87">
        <f>U34/N34</f>
        <v>0.55880407867722171</v>
      </c>
      <c r="AA34" s="81">
        <v>0.5</v>
      </c>
      <c r="AB34" s="81">
        <v>13000</v>
      </c>
      <c r="AC34" s="81">
        <v>10100</v>
      </c>
      <c r="AD34" s="82">
        <f>N34/AC34*AB34</f>
        <v>12.871287128712872</v>
      </c>
      <c r="AE34" s="81">
        <v>0.72519999999999996</v>
      </c>
      <c r="AF34" s="85">
        <f>AE34/N34</f>
        <v>7.2520000000000001E-2</v>
      </c>
      <c r="AG34" s="88"/>
      <c r="AH34" s="88"/>
      <c r="AI34" s="89"/>
      <c r="AJ34" s="90"/>
      <c r="AM34" s="91"/>
      <c r="AN34" s="92"/>
    </row>
    <row r="35" spans="1:40" x14ac:dyDescent="0.2">
      <c r="P35" s="48"/>
      <c r="U35" s="14"/>
      <c r="V35" s="14"/>
      <c r="W35" s="14"/>
      <c r="X35" s="14"/>
      <c r="Y35" s="14"/>
      <c r="Z35" s="14"/>
    </row>
    <row r="36" spans="1:40" x14ac:dyDescent="0.2">
      <c r="P36" s="48"/>
    </row>
    <row r="37" spans="1:40" x14ac:dyDescent="0.2">
      <c r="P37" s="48"/>
    </row>
    <row r="38" spans="1:40" x14ac:dyDescent="0.2">
      <c r="P38" s="48"/>
    </row>
    <row r="39" spans="1:40" x14ac:dyDescent="0.2">
      <c r="P39" s="48"/>
    </row>
    <row r="40" spans="1:40" x14ac:dyDescent="0.2">
      <c r="P40" s="48"/>
    </row>
    <row r="41" spans="1:40" x14ac:dyDescent="0.2">
      <c r="P41" s="48"/>
      <c r="S41" s="14"/>
      <c r="U41" s="14"/>
      <c r="V41" s="14"/>
      <c r="W41" s="14"/>
    </row>
    <row r="42" spans="1:40" x14ac:dyDescent="0.2">
      <c r="P42" s="48"/>
      <c r="S42" s="14"/>
      <c r="U42" s="14"/>
      <c r="V42" s="14"/>
      <c r="W42" s="14"/>
    </row>
    <row r="43" spans="1:40" x14ac:dyDescent="0.2">
      <c r="P43" s="48"/>
      <c r="S43" s="14"/>
      <c r="U43" s="14"/>
      <c r="V43" s="14"/>
      <c r="W43" s="14"/>
    </row>
    <row r="44" spans="1:40" x14ac:dyDescent="0.2">
      <c r="P44" s="48"/>
      <c r="S44" s="14"/>
      <c r="U44" s="14"/>
      <c r="V44" s="14"/>
      <c r="W44" s="14"/>
    </row>
    <row r="45" spans="1:40" x14ac:dyDescent="0.2">
      <c r="P45" s="48"/>
    </row>
    <row r="46" spans="1:40" x14ac:dyDescent="0.2">
      <c r="P46" s="48"/>
    </row>
    <row r="47" spans="1:40" x14ac:dyDescent="0.2">
      <c r="P47" s="48"/>
    </row>
    <row r="48" spans="1:40" x14ac:dyDescent="0.2">
      <c r="P48" s="48"/>
    </row>
    <row r="49" spans="16:16" x14ac:dyDescent="0.2">
      <c r="P49" s="48"/>
    </row>
    <row r="50" spans="16:16" x14ac:dyDescent="0.2">
      <c r="P50" s="48"/>
    </row>
    <row r="51" spans="16:16" x14ac:dyDescent="0.2">
      <c r="P51" s="48"/>
    </row>
    <row r="52" spans="16:16" x14ac:dyDescent="0.2">
      <c r="P52" s="48"/>
    </row>
    <row r="53" spans="16:16" x14ac:dyDescent="0.2">
      <c r="P53" s="48"/>
    </row>
    <row r="54" spans="16:16" x14ac:dyDescent="0.2">
      <c r="P54" s="48"/>
    </row>
    <row r="55" spans="16:16" x14ac:dyDescent="0.2">
      <c r="P55" s="48"/>
    </row>
    <row r="56" spans="16:16" x14ac:dyDescent="0.2">
      <c r="P56" s="48"/>
    </row>
    <row r="57" spans="16:16" x14ac:dyDescent="0.2">
      <c r="P57" s="48"/>
    </row>
    <row r="58" spans="16:16" x14ac:dyDescent="0.2">
      <c r="P58" s="48"/>
    </row>
    <row r="59" spans="16:16" x14ac:dyDescent="0.2">
      <c r="P59" s="48"/>
    </row>
    <row r="60" spans="16:16" x14ac:dyDescent="0.2">
      <c r="P60" s="48"/>
    </row>
    <row r="61" spans="16:16" x14ac:dyDescent="0.2">
      <c r="P61" s="48"/>
    </row>
    <row r="62" spans="16:16" x14ac:dyDescent="0.2">
      <c r="P62" s="48"/>
    </row>
    <row r="63" spans="16:16" x14ac:dyDescent="0.2">
      <c r="P63" s="48"/>
    </row>
    <row r="64" spans="16:16" x14ac:dyDescent="0.2">
      <c r="P64" s="48"/>
    </row>
    <row r="65" spans="16:16" x14ac:dyDescent="0.2">
      <c r="P65" s="48"/>
    </row>
    <row r="66" spans="16:16" x14ac:dyDescent="0.2">
      <c r="P66" s="48"/>
    </row>
    <row r="67" spans="16:16" x14ac:dyDescent="0.2">
      <c r="P67" s="48"/>
    </row>
    <row r="68" spans="16:16" x14ac:dyDescent="0.2">
      <c r="P68" s="48"/>
    </row>
    <row r="69" spans="16:16" x14ac:dyDescent="0.2">
      <c r="P69" s="48"/>
    </row>
    <row r="70" spans="16:16" x14ac:dyDescent="0.2">
      <c r="P70" s="48"/>
    </row>
    <row r="71" spans="16:16" x14ac:dyDescent="0.2">
      <c r="P71" s="48"/>
    </row>
    <row r="72" spans="16:16" x14ac:dyDescent="0.2">
      <c r="P72" s="48"/>
    </row>
    <row r="73" spans="16:16" x14ac:dyDescent="0.2">
      <c r="P73" s="48"/>
    </row>
    <row r="74" spans="16:16" x14ac:dyDescent="0.2">
      <c r="P74" s="48"/>
    </row>
    <row r="75" spans="16:16" x14ac:dyDescent="0.2">
      <c r="P75" s="48"/>
    </row>
    <row r="76" spans="16:16" x14ac:dyDescent="0.2">
      <c r="P76" s="48"/>
    </row>
    <row r="77" spans="16:16" x14ac:dyDescent="0.2">
      <c r="P77" s="48"/>
    </row>
    <row r="78" spans="16:16" x14ac:dyDescent="0.2">
      <c r="P78" s="48"/>
    </row>
    <row r="79" spans="16:16" x14ac:dyDescent="0.2">
      <c r="P79" s="48"/>
    </row>
    <row r="80" spans="16:16" x14ac:dyDescent="0.2">
      <c r="P80" s="48"/>
    </row>
    <row r="81" spans="16:16" x14ac:dyDescent="0.2">
      <c r="P81" s="48"/>
    </row>
    <row r="82" spans="16:16" x14ac:dyDescent="0.2">
      <c r="P82" s="48"/>
    </row>
    <row r="83" spans="16:16" x14ac:dyDescent="0.2">
      <c r="P83" s="48"/>
    </row>
    <row r="84" spans="16:16" x14ac:dyDescent="0.2">
      <c r="P84" s="48"/>
    </row>
    <row r="85" spans="16:16" x14ac:dyDescent="0.2">
      <c r="P85" s="48"/>
    </row>
    <row r="86" spans="16:16" x14ac:dyDescent="0.2">
      <c r="P86" s="48"/>
    </row>
    <row r="87" spans="16:16" x14ac:dyDescent="0.2">
      <c r="P87" s="48"/>
    </row>
    <row r="88" spans="16:16" x14ac:dyDescent="0.2">
      <c r="P88" s="48"/>
    </row>
    <row r="89" spans="16:16" x14ac:dyDescent="0.2">
      <c r="P89" s="48"/>
    </row>
    <row r="90" spans="16:16" x14ac:dyDescent="0.2">
      <c r="P90" s="48"/>
    </row>
    <row r="91" spans="16:16" x14ac:dyDescent="0.2">
      <c r="P91" s="48"/>
    </row>
    <row r="92" spans="16:16" x14ac:dyDescent="0.2">
      <c r="P92" s="48"/>
    </row>
    <row r="93" spans="16:16" x14ac:dyDescent="0.2">
      <c r="P93" s="48"/>
    </row>
    <row r="94" spans="16:16" x14ac:dyDescent="0.2">
      <c r="P94" s="48"/>
    </row>
    <row r="95" spans="16:16" x14ac:dyDescent="0.2">
      <c r="P95" s="48"/>
    </row>
    <row r="96" spans="16:16" x14ac:dyDescent="0.2">
      <c r="P96" s="48"/>
    </row>
    <row r="97" spans="16:16" x14ac:dyDescent="0.2">
      <c r="P97" s="48"/>
    </row>
    <row r="98" spans="16:16" x14ac:dyDescent="0.2">
      <c r="P98" s="48"/>
    </row>
    <row r="99" spans="16:16" x14ac:dyDescent="0.2">
      <c r="P99" s="48"/>
    </row>
    <row r="100" spans="16:16" x14ac:dyDescent="0.2">
      <c r="P100" s="48"/>
    </row>
    <row r="101" spans="16:16" x14ac:dyDescent="0.2">
      <c r="P101" s="48"/>
    </row>
    <row r="102" spans="16:16" x14ac:dyDescent="0.2">
      <c r="P102" s="48"/>
    </row>
    <row r="103" spans="16:16" x14ac:dyDescent="0.2">
      <c r="P103" s="48"/>
    </row>
    <row r="104" spans="16:16" x14ac:dyDescent="0.2">
      <c r="P104" s="48"/>
    </row>
    <row r="105" spans="16:16" x14ac:dyDescent="0.2">
      <c r="P105" s="48"/>
    </row>
    <row r="106" spans="16:16" x14ac:dyDescent="0.2">
      <c r="P106" s="48"/>
    </row>
    <row r="107" spans="16:16" x14ac:dyDescent="0.2">
      <c r="P107" s="48"/>
    </row>
    <row r="108" spans="16:16" x14ac:dyDescent="0.2">
      <c r="P108" s="48"/>
    </row>
    <row r="109" spans="16:16" x14ac:dyDescent="0.2">
      <c r="P109" s="48"/>
    </row>
    <row r="110" spans="16:16" x14ac:dyDescent="0.2">
      <c r="P110" s="48"/>
    </row>
    <row r="111" spans="16:16" x14ac:dyDescent="0.2">
      <c r="P111" s="48"/>
    </row>
    <row r="112" spans="16:16" x14ac:dyDescent="0.2">
      <c r="P112" s="48"/>
    </row>
    <row r="113" spans="16:16" x14ac:dyDescent="0.2">
      <c r="P113" s="48"/>
    </row>
    <row r="114" spans="16:16" x14ac:dyDescent="0.2">
      <c r="P114" s="48"/>
    </row>
    <row r="115" spans="16:16" x14ac:dyDescent="0.2">
      <c r="P115" s="48"/>
    </row>
    <row r="116" spans="16:16" x14ac:dyDescent="0.2">
      <c r="P116" s="48"/>
    </row>
    <row r="117" spans="16:16" x14ac:dyDescent="0.2">
      <c r="P117" s="48"/>
    </row>
    <row r="118" spans="16:16" x14ac:dyDescent="0.2">
      <c r="P118" s="48"/>
    </row>
    <row r="119" spans="16:16" x14ac:dyDescent="0.2">
      <c r="P119" s="48"/>
    </row>
    <row r="120" spans="16:16" x14ac:dyDescent="0.2">
      <c r="P120" s="48"/>
    </row>
    <row r="121" spans="16:16" x14ac:dyDescent="0.2">
      <c r="P121" s="48"/>
    </row>
    <row r="122" spans="16:16" x14ac:dyDescent="0.2">
      <c r="P122" s="48"/>
    </row>
    <row r="123" spans="16:16" x14ac:dyDescent="0.2">
      <c r="P123" s="48"/>
    </row>
    <row r="124" spans="16:16" x14ac:dyDescent="0.2">
      <c r="P124" s="48"/>
    </row>
    <row r="125" spans="16:16" x14ac:dyDescent="0.2">
      <c r="P125" s="48"/>
    </row>
    <row r="126" spans="16:16" x14ac:dyDescent="0.2">
      <c r="P126" s="48"/>
    </row>
    <row r="127" spans="16:16" x14ac:dyDescent="0.2">
      <c r="P127" s="48"/>
    </row>
    <row r="128" spans="16:16" x14ac:dyDescent="0.2">
      <c r="P128" s="48"/>
    </row>
    <row r="129" spans="16:16" x14ac:dyDescent="0.2">
      <c r="P129" s="48"/>
    </row>
    <row r="130" spans="16:16" x14ac:dyDescent="0.2">
      <c r="P130" s="48"/>
    </row>
    <row r="131" spans="16:16" x14ac:dyDescent="0.2">
      <c r="P131" s="48"/>
    </row>
    <row r="132" spans="16:16" x14ac:dyDescent="0.2">
      <c r="P132" s="48"/>
    </row>
    <row r="133" spans="16:16" x14ac:dyDescent="0.2">
      <c r="P133" s="48"/>
    </row>
    <row r="134" spans="16:16" x14ac:dyDescent="0.2">
      <c r="P134" s="48"/>
    </row>
    <row r="135" spans="16:16" x14ac:dyDescent="0.2">
      <c r="P135" s="48"/>
    </row>
    <row r="136" spans="16:16" x14ac:dyDescent="0.2">
      <c r="P136" s="48"/>
    </row>
    <row r="137" spans="16:16" x14ac:dyDescent="0.2">
      <c r="P137" s="48"/>
    </row>
    <row r="138" spans="16:16" x14ac:dyDescent="0.2">
      <c r="P138" s="48"/>
    </row>
    <row r="139" spans="16:16" x14ac:dyDescent="0.2">
      <c r="P139" s="48"/>
    </row>
    <row r="140" spans="16:16" x14ac:dyDescent="0.2">
      <c r="P140" s="48"/>
    </row>
    <row r="141" spans="16:16" x14ac:dyDescent="0.2">
      <c r="P141" s="48"/>
    </row>
    <row r="142" spans="16:16" x14ac:dyDescent="0.2">
      <c r="P142" s="48"/>
    </row>
    <row r="143" spans="16:16" x14ac:dyDescent="0.2">
      <c r="P143" s="48"/>
    </row>
    <row r="144" spans="16:16" x14ac:dyDescent="0.2">
      <c r="P144" s="48"/>
    </row>
    <row r="145" spans="16:16" x14ac:dyDescent="0.2">
      <c r="P145" s="48"/>
    </row>
    <row r="146" spans="16:16" x14ac:dyDescent="0.2">
      <c r="P146" s="48"/>
    </row>
    <row r="147" spans="16:16" x14ac:dyDescent="0.2">
      <c r="P147" s="48"/>
    </row>
    <row r="148" spans="16:16" x14ac:dyDescent="0.2">
      <c r="P148" s="48"/>
    </row>
    <row r="149" spans="16:16" x14ac:dyDescent="0.2">
      <c r="P149" s="48"/>
    </row>
    <row r="150" spans="16:16" x14ac:dyDescent="0.2">
      <c r="P150" s="48"/>
    </row>
    <row r="151" spans="16:16" x14ac:dyDescent="0.2">
      <c r="P151" s="48"/>
    </row>
    <row r="152" spans="16:16" x14ac:dyDescent="0.2">
      <c r="P152" s="48"/>
    </row>
    <row r="153" spans="16:16" x14ac:dyDescent="0.2">
      <c r="P153" s="48"/>
    </row>
    <row r="154" spans="16:16" x14ac:dyDescent="0.2">
      <c r="P154" s="48"/>
    </row>
    <row r="155" spans="16:16" x14ac:dyDescent="0.2">
      <c r="P155" s="48"/>
    </row>
    <row r="156" spans="16:16" x14ac:dyDescent="0.2">
      <c r="P156" s="48"/>
    </row>
    <row r="157" spans="16:16" x14ac:dyDescent="0.2">
      <c r="P157" s="48"/>
    </row>
    <row r="158" spans="16:16" x14ac:dyDescent="0.2">
      <c r="P158" s="48"/>
    </row>
    <row r="159" spans="16:16" x14ac:dyDescent="0.2">
      <c r="P159" s="48"/>
    </row>
    <row r="160" spans="16:16" x14ac:dyDescent="0.2">
      <c r="P160" s="48"/>
    </row>
    <row r="161" spans="16:16" x14ac:dyDescent="0.2">
      <c r="P161" s="48"/>
    </row>
    <row r="162" spans="16:16" x14ac:dyDescent="0.2">
      <c r="P162" s="48"/>
    </row>
    <row r="163" spans="16:16" x14ac:dyDescent="0.2">
      <c r="P163" s="48"/>
    </row>
    <row r="164" spans="16:16" x14ac:dyDescent="0.2">
      <c r="P164" s="48"/>
    </row>
    <row r="165" spans="16:16" x14ac:dyDescent="0.2">
      <c r="P165" s="48"/>
    </row>
    <row r="166" spans="16:16" x14ac:dyDescent="0.2">
      <c r="P166" s="48"/>
    </row>
    <row r="167" spans="16:16" x14ac:dyDescent="0.2">
      <c r="P167" s="48"/>
    </row>
    <row r="168" spans="16:16" x14ac:dyDescent="0.2">
      <c r="P168" s="48"/>
    </row>
    <row r="169" spans="16:16" x14ac:dyDescent="0.2">
      <c r="P169" s="48"/>
    </row>
    <row r="170" spans="16:16" x14ac:dyDescent="0.2">
      <c r="P170" s="48"/>
    </row>
    <row r="171" spans="16:16" x14ac:dyDescent="0.2">
      <c r="P171" s="48"/>
    </row>
    <row r="172" spans="16:16" x14ac:dyDescent="0.2">
      <c r="P172" s="48"/>
    </row>
    <row r="173" spans="16:16" x14ac:dyDescent="0.2">
      <c r="P173" s="48"/>
    </row>
    <row r="174" spans="16:16" x14ac:dyDescent="0.2">
      <c r="P174" s="48"/>
    </row>
    <row r="175" spans="16:16" x14ac:dyDescent="0.2">
      <c r="P175" s="48"/>
    </row>
    <row r="176" spans="16:16" x14ac:dyDescent="0.2">
      <c r="P176" s="48"/>
    </row>
    <row r="177" spans="16:16" x14ac:dyDescent="0.2">
      <c r="P177" s="48"/>
    </row>
    <row r="178" spans="16:16" x14ac:dyDescent="0.2">
      <c r="P178" s="48"/>
    </row>
    <row r="179" spans="16:16" x14ac:dyDescent="0.2">
      <c r="P179" s="48"/>
    </row>
    <row r="180" spans="16:16" x14ac:dyDescent="0.2">
      <c r="P180" s="48"/>
    </row>
    <row r="181" spans="16:16" x14ac:dyDescent="0.2">
      <c r="P181" s="48"/>
    </row>
    <row r="182" spans="16:16" x14ac:dyDescent="0.2">
      <c r="P182" s="48"/>
    </row>
    <row r="183" spans="16:16" x14ac:dyDescent="0.2">
      <c r="P183" s="48"/>
    </row>
    <row r="184" spans="16:16" x14ac:dyDescent="0.2">
      <c r="P184" s="48"/>
    </row>
    <row r="185" spans="16:16" x14ac:dyDescent="0.2">
      <c r="P185" s="48"/>
    </row>
    <row r="186" spans="16:16" x14ac:dyDescent="0.2">
      <c r="P186" s="48"/>
    </row>
    <row r="187" spans="16:16" x14ac:dyDescent="0.2">
      <c r="P187" s="48"/>
    </row>
    <row r="188" spans="16:16" x14ac:dyDescent="0.2">
      <c r="P188" s="48"/>
    </row>
    <row r="189" spans="16:16" x14ac:dyDescent="0.2">
      <c r="P189" s="48"/>
    </row>
    <row r="190" spans="16:16" x14ac:dyDescent="0.2">
      <c r="P190" s="48"/>
    </row>
    <row r="191" spans="16:16" x14ac:dyDescent="0.2">
      <c r="P191" s="48"/>
    </row>
    <row r="192" spans="16:16" x14ac:dyDescent="0.2">
      <c r="P192" s="48"/>
    </row>
    <row r="193" spans="16:16" x14ac:dyDescent="0.2">
      <c r="P193" s="48"/>
    </row>
    <row r="194" spans="16:16" x14ac:dyDescent="0.2">
      <c r="P194" s="48"/>
    </row>
    <row r="195" spans="16:16" x14ac:dyDescent="0.2">
      <c r="P195" s="48"/>
    </row>
    <row r="196" spans="16:16" x14ac:dyDescent="0.2">
      <c r="P196" s="48"/>
    </row>
    <row r="197" spans="16:16" x14ac:dyDescent="0.2">
      <c r="P197" s="48"/>
    </row>
    <row r="198" spans="16:16" x14ac:dyDescent="0.2">
      <c r="P198" s="48"/>
    </row>
    <row r="199" spans="16:16" x14ac:dyDescent="0.2">
      <c r="P199" s="48"/>
    </row>
    <row r="200" spans="16:16" x14ac:dyDescent="0.2">
      <c r="P200" s="48"/>
    </row>
    <row r="201" spans="16:16" x14ac:dyDescent="0.2">
      <c r="P201" s="48"/>
    </row>
    <row r="202" spans="16:16" x14ac:dyDescent="0.2">
      <c r="P202" s="48"/>
    </row>
    <row r="203" spans="16:16" x14ac:dyDescent="0.2">
      <c r="P203" s="48"/>
    </row>
    <row r="204" spans="16:16" x14ac:dyDescent="0.2">
      <c r="P204" s="48"/>
    </row>
    <row r="205" spans="16:16" x14ac:dyDescent="0.2">
      <c r="P205" s="48"/>
    </row>
    <row r="206" spans="16:16" x14ac:dyDescent="0.2">
      <c r="P206" s="48"/>
    </row>
    <row r="207" spans="16:16" x14ac:dyDescent="0.2">
      <c r="P207" s="48"/>
    </row>
    <row r="208" spans="16:16" x14ac:dyDescent="0.2">
      <c r="P208" s="48"/>
    </row>
    <row r="209" spans="16:16" x14ac:dyDescent="0.2">
      <c r="P209" s="48"/>
    </row>
    <row r="210" spans="16:16" x14ac:dyDescent="0.2">
      <c r="P210" s="48"/>
    </row>
    <row r="211" spans="16:16" x14ac:dyDescent="0.2">
      <c r="P211" s="48"/>
    </row>
    <row r="212" spans="16:16" x14ac:dyDescent="0.2">
      <c r="P212" s="48"/>
    </row>
    <row r="213" spans="16:16" x14ac:dyDescent="0.2">
      <c r="P213" s="48"/>
    </row>
    <row r="214" spans="16:16" x14ac:dyDescent="0.2">
      <c r="P214" s="48"/>
    </row>
    <row r="215" spans="16:16" x14ac:dyDescent="0.2">
      <c r="P215" s="48"/>
    </row>
    <row r="216" spans="16:16" x14ac:dyDescent="0.2">
      <c r="P216" s="48"/>
    </row>
    <row r="217" spans="16:16" x14ac:dyDescent="0.2">
      <c r="P217" s="48"/>
    </row>
    <row r="218" spans="16:16" x14ac:dyDescent="0.2">
      <c r="P218" s="48"/>
    </row>
    <row r="219" spans="16:16" x14ac:dyDescent="0.2">
      <c r="P219" s="48"/>
    </row>
    <row r="220" spans="16:16" x14ac:dyDescent="0.2">
      <c r="P220" s="48"/>
    </row>
    <row r="221" spans="16:16" x14ac:dyDescent="0.2">
      <c r="P221" s="48"/>
    </row>
    <row r="222" spans="16:16" x14ac:dyDescent="0.2">
      <c r="P222" s="48"/>
    </row>
    <row r="223" spans="16:16" x14ac:dyDescent="0.2">
      <c r="P223" s="48"/>
    </row>
    <row r="224" spans="16:16" x14ac:dyDescent="0.2">
      <c r="P224" s="48"/>
    </row>
    <row r="225" spans="16:16" x14ac:dyDescent="0.2">
      <c r="P225" s="48"/>
    </row>
    <row r="226" spans="16:16" x14ac:dyDescent="0.2">
      <c r="P226" s="48"/>
    </row>
    <row r="227" spans="16:16" x14ac:dyDescent="0.2">
      <c r="P227" s="48"/>
    </row>
    <row r="228" spans="16:16" x14ac:dyDescent="0.2">
      <c r="P228" s="48"/>
    </row>
    <row r="229" spans="16:16" x14ac:dyDescent="0.2">
      <c r="P229" s="48"/>
    </row>
    <row r="230" spans="16:16" x14ac:dyDescent="0.2">
      <c r="P230" s="48"/>
    </row>
    <row r="231" spans="16:16" x14ac:dyDescent="0.2">
      <c r="P231" s="48"/>
    </row>
    <row r="232" spans="16:16" x14ac:dyDescent="0.2">
      <c r="P232" s="48"/>
    </row>
    <row r="233" spans="16:16" x14ac:dyDescent="0.2">
      <c r="P233" s="48"/>
    </row>
    <row r="234" spans="16:16" x14ac:dyDescent="0.2">
      <c r="P234" s="48"/>
    </row>
    <row r="235" spans="16:16" x14ac:dyDescent="0.2">
      <c r="P235" s="48"/>
    </row>
    <row r="236" spans="16:16" x14ac:dyDescent="0.2">
      <c r="P236" s="48"/>
    </row>
    <row r="237" spans="16:16" x14ac:dyDescent="0.2">
      <c r="P237" s="48"/>
    </row>
    <row r="238" spans="16:16" x14ac:dyDescent="0.2">
      <c r="P238" s="48"/>
    </row>
    <row r="239" spans="16:16" x14ac:dyDescent="0.2">
      <c r="P239" s="48"/>
    </row>
    <row r="240" spans="16:16" x14ac:dyDescent="0.2">
      <c r="P240" s="48"/>
    </row>
    <row r="241" spans="16:16" x14ac:dyDescent="0.2">
      <c r="P241" s="48"/>
    </row>
    <row r="242" spans="16:16" x14ac:dyDescent="0.2">
      <c r="P242" s="48"/>
    </row>
    <row r="243" spans="16:16" x14ac:dyDescent="0.2">
      <c r="P243" s="48"/>
    </row>
    <row r="244" spans="16:16" x14ac:dyDescent="0.2">
      <c r="P244" s="48"/>
    </row>
    <row r="245" spans="16:16" x14ac:dyDescent="0.2">
      <c r="P245" s="48"/>
    </row>
    <row r="246" spans="16:16" x14ac:dyDescent="0.2">
      <c r="P246" s="48"/>
    </row>
    <row r="247" spans="16:16" x14ac:dyDescent="0.2">
      <c r="P247" s="48"/>
    </row>
    <row r="248" spans="16:16" x14ac:dyDescent="0.2">
      <c r="P248" s="48"/>
    </row>
    <row r="249" spans="16:16" x14ac:dyDescent="0.2">
      <c r="P249" s="48"/>
    </row>
    <row r="250" spans="16:16" x14ac:dyDescent="0.2">
      <c r="P250" s="48"/>
    </row>
    <row r="251" spans="16:16" x14ac:dyDescent="0.2">
      <c r="P251" s="48"/>
    </row>
    <row r="252" spans="16:16" x14ac:dyDescent="0.2">
      <c r="P252" s="48"/>
    </row>
  </sheetData>
  <mergeCells count="8">
    <mergeCell ref="B3:L4"/>
    <mergeCell ref="AG3:AN4"/>
    <mergeCell ref="AF1:AK1"/>
    <mergeCell ref="N3:AF3"/>
    <mergeCell ref="AM5:AN5"/>
    <mergeCell ref="R4:Z4"/>
    <mergeCell ref="O4:Q4"/>
    <mergeCell ref="AA4:AF4"/>
  </mergeCells>
  <conditionalFormatting sqref="AJ1:AJ3 AJ5:AJ1048576">
    <cfRule type="containsText" dxfId="18" priority="1" operator="containsText" text=".">
      <formula>NOT(ISERROR(SEARCH(".",AJ1)))</formula>
    </cfRule>
  </conditionalFormatting>
  <conditionalFormatting sqref="AJ6:AJ70">
    <cfRule type="containsBlanks" dxfId="17" priority="2">
      <formula>LEN(TRIM(AJ6))=0</formula>
    </cfRule>
    <cfRule type="notContainsText" dxfId="16" priority="3" operator="notContains" text="done">
      <formula>ISERROR(SEARCH("done",AJ6))</formula>
    </cfRule>
  </conditionalFormatting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B1FF-DBD1-1245-8858-C6EFB50413A5}">
  <dimension ref="A1:AC37"/>
  <sheetViews>
    <sheetView zoomScaleNormal="100" workbookViewId="0">
      <pane xSplit="1" ySplit="4" topLeftCell="I5" activePane="bottomRight" state="frozen"/>
      <selection pane="topRight" activeCell="B1" sqref="B1"/>
      <selection pane="bottomLeft" activeCell="A5" sqref="A5"/>
      <selection pane="bottomRight" activeCell="S32" sqref="S32"/>
    </sheetView>
  </sheetViews>
  <sheetFormatPr baseColWidth="10" defaultRowHeight="16" x14ac:dyDescent="0.2"/>
  <cols>
    <col min="1" max="1" width="14.83203125" style="7" customWidth="1"/>
    <col min="2" max="2" width="17.83203125" style="3" customWidth="1"/>
    <col min="3" max="3" width="15" style="3" customWidth="1"/>
    <col min="4" max="4" width="8.5" style="3" customWidth="1"/>
    <col min="5" max="5" width="13" style="13" customWidth="1"/>
    <col min="6" max="6" width="12.33203125" style="3" customWidth="1"/>
    <col min="7" max="7" width="16.1640625" style="3" customWidth="1"/>
    <col min="8" max="8" width="17" style="3" customWidth="1"/>
    <col min="9" max="12" width="17.1640625" style="3" customWidth="1"/>
    <col min="13" max="13" width="7.33203125" style="3" customWidth="1"/>
    <col min="14" max="14" width="20.33203125" style="3" customWidth="1"/>
    <col min="15" max="15" width="16.83203125" style="3" customWidth="1"/>
    <col min="16" max="17" width="10.83203125" style="3"/>
    <col min="18" max="18" width="11.33203125" style="3" customWidth="1"/>
    <col min="19" max="19" width="16.33203125" style="3" customWidth="1"/>
    <col min="20" max="21" width="16.83203125" style="3" customWidth="1"/>
    <col min="22" max="24" width="11.5" style="5" customWidth="1"/>
    <col min="25" max="25" width="15.5" style="5" customWidth="1"/>
    <col min="26" max="26" width="8.33203125" style="3" customWidth="1"/>
    <col min="27" max="27" width="1.5" style="3" customWidth="1"/>
    <col min="28" max="28" width="45.5" style="4" customWidth="1"/>
    <col min="29" max="29" width="43.6640625" style="1" customWidth="1"/>
    <col min="30" max="16384" width="10.83203125" style="3"/>
  </cols>
  <sheetData>
    <row r="1" spans="1:29" x14ac:dyDescent="0.2">
      <c r="B1" s="8" t="s">
        <v>7</v>
      </c>
      <c r="C1" s="3">
        <v>0.49</v>
      </c>
      <c r="E1" s="3"/>
      <c r="F1" s="8" t="s">
        <v>6</v>
      </c>
      <c r="G1" s="3">
        <v>0.2</v>
      </c>
      <c r="U1" s="189" t="s">
        <v>33</v>
      </c>
      <c r="V1" s="189"/>
      <c r="W1" s="189"/>
      <c r="X1" s="189"/>
      <c r="Y1" s="189"/>
      <c r="Z1" s="189"/>
    </row>
    <row r="2" spans="1:29" x14ac:dyDescent="0.2">
      <c r="E2" s="3"/>
      <c r="T2" s="1" t="s">
        <v>106</v>
      </c>
      <c r="V2" s="3"/>
      <c r="W2" s="3"/>
      <c r="X2" s="3"/>
    </row>
    <row r="3" spans="1:29" ht="19" x14ac:dyDescent="0.2">
      <c r="B3" s="187" t="s">
        <v>13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9"/>
      <c r="N3" s="194" t="s">
        <v>14</v>
      </c>
      <c r="O3" s="194"/>
      <c r="P3" s="194"/>
      <c r="Q3" s="194"/>
      <c r="R3" s="194"/>
      <c r="S3" s="194"/>
      <c r="T3" s="194"/>
      <c r="U3" s="194"/>
      <c r="V3" s="188" t="s">
        <v>26</v>
      </c>
      <c r="W3" s="188"/>
      <c r="X3" s="188"/>
      <c r="Y3" s="188"/>
      <c r="Z3" s="188"/>
      <c r="AA3" s="188"/>
      <c r="AB3" s="188"/>
      <c r="AC3" s="188"/>
    </row>
    <row r="4" spans="1:29" s="6" customFormat="1" ht="18" x14ac:dyDescent="0.2">
      <c r="A4" s="10" t="s">
        <v>0</v>
      </c>
      <c r="B4" s="6" t="s">
        <v>2</v>
      </c>
      <c r="C4" s="6" t="s">
        <v>3</v>
      </c>
      <c r="D4" s="6" t="s">
        <v>45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18</v>
      </c>
      <c r="K4" s="6" t="s">
        <v>75</v>
      </c>
      <c r="L4" s="6" t="s">
        <v>16</v>
      </c>
      <c r="M4" s="6" t="s">
        <v>19</v>
      </c>
      <c r="N4" s="6" t="s">
        <v>5</v>
      </c>
      <c r="O4" s="6" t="s">
        <v>1</v>
      </c>
      <c r="P4" s="6" t="s">
        <v>15</v>
      </c>
      <c r="Q4" s="6" t="s">
        <v>19</v>
      </c>
      <c r="R4" s="6" t="s">
        <v>20</v>
      </c>
      <c r="S4" s="6" t="s">
        <v>21</v>
      </c>
      <c r="T4" s="6" t="s">
        <v>105</v>
      </c>
      <c r="U4" s="6" t="s">
        <v>16</v>
      </c>
      <c r="V4" s="6" t="s">
        <v>53</v>
      </c>
      <c r="W4" s="6" t="s">
        <v>54</v>
      </c>
      <c r="X4" s="6" t="s">
        <v>55</v>
      </c>
      <c r="Y4" s="17" t="s">
        <v>30</v>
      </c>
      <c r="Z4" s="6" t="s">
        <v>28</v>
      </c>
      <c r="AB4" s="178" t="s">
        <v>17</v>
      </c>
      <c r="AC4" s="178"/>
    </row>
    <row r="5" spans="1:29" ht="17" x14ac:dyDescent="0.2">
      <c r="A5" s="7" t="s">
        <v>4</v>
      </c>
      <c r="B5" s="11">
        <f t="shared" ref="B5:B10" si="0">10*G$1/7200000</f>
        <v>2.7777777777777776E-7</v>
      </c>
      <c r="C5" s="3">
        <v>0.49</v>
      </c>
      <c r="D5" s="3">
        <v>128</v>
      </c>
      <c r="E5" s="13">
        <v>8</v>
      </c>
      <c r="F5" s="3">
        <v>0.01</v>
      </c>
      <c r="G5" s="3">
        <v>8.4870100000000004E-2</v>
      </c>
      <c r="H5" s="3">
        <v>5.4780000000000002E-3</v>
      </c>
      <c r="I5" s="3">
        <v>0.46187820000000002</v>
      </c>
      <c r="J5" s="11">
        <v>1.0803999999999999E-2</v>
      </c>
      <c r="K5" s="11"/>
      <c r="L5" s="3">
        <f t="shared" ref="L5:L14" si="1">G5/N5</f>
        <v>8.4870099999999997E-3</v>
      </c>
      <c r="N5" s="3">
        <v>10</v>
      </c>
      <c r="O5" s="12">
        <f t="shared" ref="O5:O10" si="2">N5*G$1/B5</f>
        <v>7200000.0000000009</v>
      </c>
      <c r="P5" s="3">
        <v>5.54</v>
      </c>
      <c r="Q5" s="3">
        <v>2.0000000000000001E-4</v>
      </c>
      <c r="R5" s="3">
        <f>97448*Q5</f>
        <v>19.489599999999999</v>
      </c>
      <c r="S5" s="13">
        <f t="shared" ref="S5:S10" si="3">R5/3*N5</f>
        <v>64.965333333333334</v>
      </c>
      <c r="T5" s="3">
        <v>0.1042</v>
      </c>
      <c r="U5" s="14">
        <f t="shared" ref="U5:U10" si="4">T5/N5</f>
        <v>1.042E-2</v>
      </c>
      <c r="V5" s="15"/>
      <c r="W5" s="15"/>
      <c r="X5" s="15"/>
      <c r="Y5" s="5" t="s">
        <v>31</v>
      </c>
      <c r="Z5" s="3" t="s">
        <v>37</v>
      </c>
      <c r="AB5" s="4" t="s">
        <v>22</v>
      </c>
      <c r="AC5" s="2"/>
    </row>
    <row r="6" spans="1:29" ht="17" x14ac:dyDescent="0.2">
      <c r="A6" s="7" t="s">
        <v>23</v>
      </c>
      <c r="B6" s="11">
        <f t="shared" si="0"/>
        <v>2.7777777777777776E-7</v>
      </c>
      <c r="C6" s="3">
        <v>0.49</v>
      </c>
      <c r="D6" s="3">
        <v>128</v>
      </c>
      <c r="E6" s="13">
        <v>8</v>
      </c>
      <c r="F6" s="3">
        <v>0.01</v>
      </c>
      <c r="G6" s="3">
        <v>8.4870100000000004E-2</v>
      </c>
      <c r="H6" s="3">
        <v>5.4780000000000002E-3</v>
      </c>
      <c r="I6" s="3">
        <v>0.46187820000000002</v>
      </c>
      <c r="J6" s="11">
        <v>1.0803999999999999E-2</v>
      </c>
      <c r="K6" s="11"/>
      <c r="L6" s="3">
        <f t="shared" si="1"/>
        <v>6.7896079999999999E-3</v>
      </c>
      <c r="N6" s="3">
        <v>12.5</v>
      </c>
      <c r="O6" s="12">
        <f t="shared" si="2"/>
        <v>9000000</v>
      </c>
      <c r="P6" s="3">
        <v>5.54</v>
      </c>
      <c r="Q6" s="3">
        <v>2.0000000000000001E-4</v>
      </c>
      <c r="R6" s="3">
        <v>16</v>
      </c>
      <c r="S6" s="13">
        <f t="shared" si="3"/>
        <v>66.666666666666657</v>
      </c>
      <c r="T6" s="3">
        <v>1.2394000000000001</v>
      </c>
      <c r="U6" s="14">
        <f t="shared" si="4"/>
        <v>9.9152000000000004E-2</v>
      </c>
      <c r="V6" s="15"/>
      <c r="W6" s="15"/>
      <c r="X6" s="15"/>
      <c r="Y6" s="5" t="s">
        <v>31</v>
      </c>
      <c r="Z6" s="3" t="s">
        <v>37</v>
      </c>
      <c r="AB6" s="196" t="s">
        <v>36</v>
      </c>
      <c r="AC6" s="2"/>
    </row>
    <row r="7" spans="1:29" ht="17" x14ac:dyDescent="0.2">
      <c r="A7" s="7" t="s">
        <v>24</v>
      </c>
      <c r="B7" s="11">
        <f t="shared" si="0"/>
        <v>2.7777777777777776E-7</v>
      </c>
      <c r="C7" s="3">
        <v>0.49</v>
      </c>
      <c r="D7" s="3">
        <v>128</v>
      </c>
      <c r="E7" s="13">
        <v>8</v>
      </c>
      <c r="F7" s="3">
        <v>0.01</v>
      </c>
      <c r="G7" s="3">
        <v>8.4870100000000004E-2</v>
      </c>
      <c r="H7" s="3">
        <v>5.4780000000000002E-3</v>
      </c>
      <c r="I7" s="3">
        <v>0.46187820000000002</v>
      </c>
      <c r="J7" s="11">
        <v>1.0803999999999999E-2</v>
      </c>
      <c r="K7" s="11"/>
      <c r="L7" s="3">
        <f t="shared" si="1"/>
        <v>1.1316013333333335E-2</v>
      </c>
      <c r="N7" s="3">
        <v>7.5</v>
      </c>
      <c r="O7" s="12">
        <f t="shared" si="2"/>
        <v>5400000</v>
      </c>
      <c r="P7" s="3">
        <v>5.54</v>
      </c>
      <c r="Q7" s="3">
        <v>2.0000000000000001E-4</v>
      </c>
      <c r="R7" s="3">
        <v>25.6</v>
      </c>
      <c r="S7" s="13">
        <f t="shared" si="3"/>
        <v>64</v>
      </c>
      <c r="T7" s="3">
        <v>0.1018</v>
      </c>
      <c r="U7" s="14">
        <f t="shared" si="4"/>
        <v>1.3573333333333333E-2</v>
      </c>
      <c r="V7" s="15"/>
      <c r="W7" s="15"/>
      <c r="X7" s="15"/>
      <c r="Y7" s="5" t="s">
        <v>31</v>
      </c>
      <c r="Z7" s="3" t="s">
        <v>37</v>
      </c>
      <c r="AB7" s="196"/>
      <c r="AC7" s="2"/>
    </row>
    <row r="8" spans="1:29" ht="17" x14ac:dyDescent="0.2">
      <c r="A8" s="7" t="s">
        <v>25</v>
      </c>
      <c r="B8" s="11">
        <f t="shared" si="0"/>
        <v>2.7777777777777776E-7</v>
      </c>
      <c r="C8" s="3">
        <v>0.49</v>
      </c>
      <c r="D8" s="3">
        <v>128</v>
      </c>
      <c r="E8" s="13">
        <v>8</v>
      </c>
      <c r="F8" s="3">
        <v>0.01</v>
      </c>
      <c r="G8" s="3">
        <v>8.4870100000000004E-2</v>
      </c>
      <c r="H8" s="3">
        <v>5.4780000000000002E-3</v>
      </c>
      <c r="I8" s="3">
        <v>0.46187820000000002</v>
      </c>
      <c r="J8" s="11">
        <v>1.0803999999999999E-2</v>
      </c>
      <c r="K8" s="11"/>
      <c r="L8" s="3">
        <f t="shared" si="1"/>
        <v>1.6974019999999999E-2</v>
      </c>
      <c r="N8" s="3">
        <v>5</v>
      </c>
      <c r="O8" s="12">
        <f t="shared" si="2"/>
        <v>3600000.0000000005</v>
      </c>
      <c r="P8" s="3">
        <v>5.54</v>
      </c>
      <c r="Q8" s="3">
        <v>2.0000000000000001E-4</v>
      </c>
      <c r="R8" s="3">
        <v>25.9</v>
      </c>
      <c r="S8" s="13">
        <f t="shared" si="3"/>
        <v>43.166666666666664</v>
      </c>
      <c r="T8" s="3">
        <v>0.1012</v>
      </c>
      <c r="U8" s="14">
        <f t="shared" si="4"/>
        <v>2.0240000000000001E-2</v>
      </c>
      <c r="V8" s="15"/>
      <c r="W8" s="15"/>
      <c r="X8" s="15"/>
      <c r="Y8" s="5" t="s">
        <v>31</v>
      </c>
      <c r="Z8" s="3" t="s">
        <v>38</v>
      </c>
      <c r="AB8" s="196"/>
      <c r="AC8" s="2"/>
    </row>
    <row r="9" spans="1:29" ht="17" x14ac:dyDescent="0.2">
      <c r="A9" s="7" t="s">
        <v>27</v>
      </c>
      <c r="B9" s="11">
        <f t="shared" si="0"/>
        <v>2.7777777777777776E-7</v>
      </c>
      <c r="C9" s="3">
        <v>0.49</v>
      </c>
      <c r="D9" s="3">
        <v>128</v>
      </c>
      <c r="E9" s="13">
        <v>8</v>
      </c>
      <c r="F9" s="3">
        <v>6.0000000000000001E-3</v>
      </c>
      <c r="G9" s="3">
        <v>0.16770779999999999</v>
      </c>
      <c r="H9" s="3">
        <v>3.8755E-3</v>
      </c>
      <c r="I9" s="3">
        <v>0.91269540000000005</v>
      </c>
      <c r="J9" s="11">
        <v>4.2188999999999997E-2</v>
      </c>
      <c r="K9" s="11"/>
      <c r="L9" s="3">
        <f t="shared" si="1"/>
        <v>1.6770779999999999E-2</v>
      </c>
      <c r="N9" s="3">
        <v>10</v>
      </c>
      <c r="O9" s="12">
        <f t="shared" si="2"/>
        <v>7200000.0000000009</v>
      </c>
      <c r="P9" s="3">
        <v>5.54</v>
      </c>
      <c r="Q9" s="3">
        <v>2.0000000000000001E-4</v>
      </c>
      <c r="S9" s="13">
        <f t="shared" si="3"/>
        <v>0</v>
      </c>
      <c r="U9" s="14">
        <f t="shared" si="4"/>
        <v>0</v>
      </c>
      <c r="V9" s="15"/>
      <c r="W9" s="15"/>
      <c r="X9" s="15"/>
      <c r="Y9" s="5" t="s">
        <v>31</v>
      </c>
      <c r="Z9" s="3" t="s">
        <v>38</v>
      </c>
      <c r="AB9" s="196" t="s">
        <v>32</v>
      </c>
      <c r="AC9" s="2" t="s">
        <v>34</v>
      </c>
    </row>
    <row r="10" spans="1:29" ht="17" x14ac:dyDescent="0.2">
      <c r="A10" s="7" t="s">
        <v>29</v>
      </c>
      <c r="B10" s="11">
        <f t="shared" si="0"/>
        <v>2.7777777777777776E-7</v>
      </c>
      <c r="C10" s="3">
        <v>0.49</v>
      </c>
      <c r="D10" s="3">
        <v>128</v>
      </c>
      <c r="E10" s="13">
        <v>8</v>
      </c>
      <c r="F10" s="3">
        <v>1.7000000000000001E-2</v>
      </c>
      <c r="G10" s="3">
        <v>4.1830199999999998E-2</v>
      </c>
      <c r="H10" s="3">
        <v>7.7599000000000001E-3</v>
      </c>
      <c r="I10" s="3">
        <v>0.22764719999999999</v>
      </c>
      <c r="J10" s="11">
        <v>2.6245999999999999E-3</v>
      </c>
      <c r="K10" s="11"/>
      <c r="L10" s="3">
        <f t="shared" si="1"/>
        <v>4.18302E-3</v>
      </c>
      <c r="N10" s="3">
        <v>10</v>
      </c>
      <c r="O10" s="12">
        <f t="shared" si="2"/>
        <v>7200000.0000000009</v>
      </c>
      <c r="P10" s="3">
        <v>5.54</v>
      </c>
      <c r="Q10" s="3">
        <v>2.0000000000000001E-4</v>
      </c>
      <c r="S10" s="13">
        <f t="shared" si="3"/>
        <v>0</v>
      </c>
      <c r="U10" s="14">
        <f t="shared" si="4"/>
        <v>0</v>
      </c>
      <c r="V10" s="15"/>
      <c r="W10" s="15"/>
      <c r="X10" s="15"/>
      <c r="Y10" s="5" t="s">
        <v>31</v>
      </c>
      <c r="Z10" s="3" t="s">
        <v>39</v>
      </c>
      <c r="AB10" s="196"/>
      <c r="AC10" s="2" t="s">
        <v>35</v>
      </c>
    </row>
    <row r="11" spans="1:29" s="19" customFormat="1" ht="8" customHeight="1" x14ac:dyDescent="0.2">
      <c r="A11" s="18"/>
      <c r="B11" s="23"/>
      <c r="E11" s="25"/>
      <c r="J11" s="23"/>
      <c r="K11" s="23"/>
      <c r="O11" s="24"/>
      <c r="S11" s="25"/>
      <c r="U11" s="26"/>
      <c r="V11" s="27"/>
      <c r="W11" s="27"/>
      <c r="X11" s="27"/>
      <c r="Y11" s="5" t="s">
        <v>60</v>
      </c>
      <c r="AB11" s="21"/>
      <c r="AC11" s="28"/>
    </row>
    <row r="12" spans="1:29" ht="34" x14ac:dyDescent="0.2">
      <c r="A12" s="7" t="s">
        <v>40</v>
      </c>
      <c r="B12" s="12">
        <f>10*0.2/10000000</f>
        <v>1.9999999999999999E-7</v>
      </c>
      <c r="C12" s="3">
        <v>1.2</v>
      </c>
      <c r="D12" s="3">
        <v>128</v>
      </c>
      <c r="E12" s="13">
        <v>8</v>
      </c>
      <c r="F12" s="3">
        <v>2E-3</v>
      </c>
      <c r="G12" s="3">
        <v>0.2133333</v>
      </c>
      <c r="H12" s="3">
        <v>4.5627999999999997E-3</v>
      </c>
      <c r="I12" s="3">
        <v>0.4740741</v>
      </c>
      <c r="J12" s="11">
        <v>6.8266999999999994E-2</v>
      </c>
      <c r="K12" s="11"/>
      <c r="L12" s="3">
        <f t="shared" si="1"/>
        <v>2.1333330000000001E-2</v>
      </c>
      <c r="M12" s="3">
        <v>2E-3</v>
      </c>
      <c r="N12" s="3">
        <v>10</v>
      </c>
      <c r="O12" s="12">
        <f>N12*G$1/B12</f>
        <v>10000000</v>
      </c>
      <c r="P12" s="3">
        <v>5.54</v>
      </c>
      <c r="V12" s="16">
        <v>44659</v>
      </c>
      <c r="W12" s="16" t="s">
        <v>59</v>
      </c>
      <c r="X12" s="16" t="s">
        <v>62</v>
      </c>
      <c r="Y12" s="5" t="s">
        <v>31</v>
      </c>
      <c r="Z12" s="3" t="s">
        <v>43</v>
      </c>
      <c r="AB12" s="196" t="s">
        <v>46</v>
      </c>
    </row>
    <row r="13" spans="1:29" ht="51" x14ac:dyDescent="0.2">
      <c r="A13" s="7" t="s">
        <v>41</v>
      </c>
      <c r="B13" s="12">
        <f>10*0.2/10000000</f>
        <v>1.9999999999999999E-7</v>
      </c>
      <c r="C13" s="3">
        <v>1.2</v>
      </c>
      <c r="D13" s="3">
        <v>128</v>
      </c>
      <c r="E13" s="13">
        <v>8</v>
      </c>
      <c r="F13" s="3">
        <v>1E-3</v>
      </c>
      <c r="G13" s="3">
        <v>0.53756630000000005</v>
      </c>
      <c r="H13" s="3">
        <v>2.8744E-3</v>
      </c>
      <c r="I13" s="3">
        <v>1.1945918</v>
      </c>
      <c r="J13" s="11">
        <v>0.43347000000000002</v>
      </c>
      <c r="K13" s="11"/>
      <c r="L13" s="3">
        <f t="shared" si="1"/>
        <v>5.3756630000000007E-2</v>
      </c>
      <c r="M13" s="3">
        <v>1E-3</v>
      </c>
      <c r="N13" s="3">
        <v>10</v>
      </c>
      <c r="O13" s="12">
        <f>N13*G$1/B13</f>
        <v>10000000</v>
      </c>
      <c r="P13" s="3">
        <v>5.54</v>
      </c>
      <c r="V13" s="16">
        <v>44661</v>
      </c>
      <c r="W13" s="16" t="s">
        <v>61</v>
      </c>
      <c r="X13" s="16"/>
      <c r="Y13" s="5" t="s">
        <v>31</v>
      </c>
      <c r="Z13" s="3" t="s">
        <v>39</v>
      </c>
      <c r="AB13" s="196"/>
      <c r="AC13" s="1" t="s">
        <v>48</v>
      </c>
    </row>
    <row r="14" spans="1:29" x14ac:dyDescent="0.2">
      <c r="A14" s="7" t="s">
        <v>42</v>
      </c>
      <c r="B14" s="12">
        <f>10*0.2/10000000</f>
        <v>1.9999999999999999E-7</v>
      </c>
      <c r="C14" s="3">
        <v>1.2</v>
      </c>
      <c r="D14" s="3">
        <v>128</v>
      </c>
      <c r="E14" s="13">
        <v>8</v>
      </c>
      <c r="F14" s="3">
        <v>5.0000000000000001E-4</v>
      </c>
      <c r="G14" s="3">
        <v>1.3545822000000001</v>
      </c>
      <c r="H14" s="3">
        <v>1.8106999999999999E-3</v>
      </c>
      <c r="I14" s="3">
        <v>3.0101827000000001</v>
      </c>
      <c r="J14" s="11">
        <v>2.7523</v>
      </c>
      <c r="K14" s="11"/>
      <c r="L14" s="3">
        <f t="shared" si="1"/>
        <v>0.13545822000000002</v>
      </c>
      <c r="M14" s="3" t="s">
        <v>50</v>
      </c>
      <c r="N14" s="3">
        <v>10</v>
      </c>
      <c r="O14" s="12">
        <f>N14*G$1/B14</f>
        <v>10000000</v>
      </c>
      <c r="P14" s="3">
        <v>5.54</v>
      </c>
      <c r="V14" s="16"/>
      <c r="W14" s="16"/>
      <c r="X14" s="16"/>
      <c r="Z14" s="3" t="s">
        <v>44</v>
      </c>
      <c r="AB14" s="196"/>
      <c r="AC14" s="1" t="s">
        <v>47</v>
      </c>
    </row>
    <row r="15" spans="1:29" ht="34" x14ac:dyDescent="0.2">
      <c r="A15" s="7" t="s">
        <v>49</v>
      </c>
      <c r="B15" s="12">
        <f>10*0.2/1000000</f>
        <v>1.9999999999999999E-6</v>
      </c>
      <c r="C15" s="3">
        <v>1.2</v>
      </c>
      <c r="D15" s="3">
        <v>128</v>
      </c>
      <c r="E15" s="13">
        <v>8</v>
      </c>
      <c r="F15" s="3">
        <v>1.0999999999999999E-2</v>
      </c>
      <c r="G15" s="3">
        <v>0.21973970000000001</v>
      </c>
      <c r="H15" s="3">
        <v>1.42168E-2</v>
      </c>
      <c r="I15" s="3">
        <v>0.48831039999999998</v>
      </c>
      <c r="J15" s="11">
        <v>7.2428000000000006E-2</v>
      </c>
      <c r="K15" s="11"/>
      <c r="L15" s="3">
        <f>G15/N15</f>
        <v>2.1973970000000002E-2</v>
      </c>
      <c r="N15" s="3">
        <v>10</v>
      </c>
      <c r="O15" s="12">
        <f>N15*G$1/B15</f>
        <v>1000000</v>
      </c>
      <c r="P15" s="3">
        <v>5.54</v>
      </c>
      <c r="V15" s="16" t="s">
        <v>56</v>
      </c>
      <c r="W15" s="16"/>
      <c r="X15" s="16"/>
      <c r="Y15" s="5" t="s">
        <v>31</v>
      </c>
      <c r="Z15" s="3" t="s">
        <v>57</v>
      </c>
      <c r="AB15" s="195" t="s">
        <v>52</v>
      </c>
    </row>
    <row r="16" spans="1:29" x14ac:dyDescent="0.2">
      <c r="A16" s="7" t="s">
        <v>51</v>
      </c>
      <c r="B16" s="12">
        <f>10*0.2/100000</f>
        <v>2.0000000000000002E-5</v>
      </c>
      <c r="C16" s="3">
        <v>1.2</v>
      </c>
      <c r="D16" s="3">
        <v>128</v>
      </c>
      <c r="E16" s="13">
        <v>8</v>
      </c>
      <c r="F16" s="3">
        <v>6.3E-2</v>
      </c>
      <c r="G16" s="3">
        <v>0.21444270000000001</v>
      </c>
      <c r="H16" s="3">
        <v>4.5509300000000003E-2</v>
      </c>
      <c r="I16" s="3">
        <v>0.4765394</v>
      </c>
      <c r="J16" s="11">
        <v>6.8978999999999999E-2</v>
      </c>
      <c r="K16" s="11"/>
      <c r="L16" s="3">
        <f>G16/N16</f>
        <v>2.1444270000000001E-2</v>
      </c>
      <c r="N16" s="3">
        <v>10</v>
      </c>
      <c r="O16" s="12">
        <f>N16*G$1/B16</f>
        <v>99999.999999999985</v>
      </c>
      <c r="P16" s="3">
        <v>5.54</v>
      </c>
      <c r="Z16" s="3" t="s">
        <v>58</v>
      </c>
      <c r="AB16" s="195"/>
    </row>
    <row r="17" spans="1:29" s="19" customFormat="1" ht="8" customHeight="1" x14ac:dyDescent="0.2">
      <c r="A17" s="18"/>
      <c r="E17" s="25"/>
      <c r="V17" s="20"/>
      <c r="W17" s="20"/>
      <c r="X17" s="20"/>
      <c r="Y17" s="20" t="s">
        <v>60</v>
      </c>
      <c r="AB17" s="21"/>
      <c r="AC17" s="22"/>
    </row>
    <row r="18" spans="1:29" ht="51" customHeight="1" x14ac:dyDescent="0.2">
      <c r="A18" s="7" t="s">
        <v>63</v>
      </c>
      <c r="B18" s="12">
        <f>10*0.2/10000000</f>
        <v>1.9999999999999999E-7</v>
      </c>
      <c r="C18" s="3">
        <v>1.2</v>
      </c>
      <c r="D18" s="3">
        <v>256</v>
      </c>
      <c r="E18" s="13">
        <v>8</v>
      </c>
      <c r="F18" s="3">
        <v>4.0000000000000001E-3</v>
      </c>
      <c r="G18" s="3">
        <v>0.2687832</v>
      </c>
      <c r="H18" s="3">
        <v>5.7486999999999998E-3</v>
      </c>
      <c r="I18" s="3">
        <v>0.29864800000000002</v>
      </c>
      <c r="J18" s="11">
        <v>0.10836999999999999</v>
      </c>
      <c r="K18" s="11"/>
      <c r="L18" s="3">
        <f>G18/N18</f>
        <v>2.6878320000000001E-2</v>
      </c>
      <c r="M18" s="3">
        <v>2E-3</v>
      </c>
      <c r="N18" s="3">
        <v>10</v>
      </c>
      <c r="V18" s="5" t="s">
        <v>66</v>
      </c>
      <c r="Y18" s="5" t="s">
        <v>31</v>
      </c>
      <c r="Z18" s="3" t="s">
        <v>43</v>
      </c>
      <c r="AB18" s="196" t="s">
        <v>65</v>
      </c>
    </row>
    <row r="19" spans="1:29" ht="34" x14ac:dyDescent="0.2">
      <c r="A19" s="7" t="s">
        <v>64</v>
      </c>
      <c r="B19" s="12">
        <f>10*0.2/10000000</f>
        <v>1.9999999999999999E-7</v>
      </c>
      <c r="C19" s="3">
        <v>1.2</v>
      </c>
      <c r="D19" s="3">
        <v>64</v>
      </c>
      <c r="E19" s="13">
        <v>8</v>
      </c>
      <c r="F19" s="3">
        <v>1E-3</v>
      </c>
      <c r="G19" s="3">
        <v>0.1693228</v>
      </c>
      <c r="H19" s="3">
        <v>3.6215000000000002E-3</v>
      </c>
      <c r="I19" s="3">
        <v>0.75254569999999998</v>
      </c>
      <c r="J19" s="11">
        <v>4.3005000000000002E-2</v>
      </c>
      <c r="K19" s="11"/>
      <c r="L19" s="3">
        <f>G19/N19</f>
        <v>1.6932280000000001E-2</v>
      </c>
      <c r="M19" s="3">
        <v>2E-3</v>
      </c>
      <c r="N19" s="3">
        <v>10</v>
      </c>
      <c r="V19" s="16" t="s">
        <v>95</v>
      </c>
      <c r="Y19" s="5" t="s">
        <v>31</v>
      </c>
      <c r="Z19" s="3" t="s">
        <v>39</v>
      </c>
      <c r="AB19" s="196"/>
    </row>
    <row r="20" spans="1:29" s="19" customFormat="1" ht="8" customHeight="1" x14ac:dyDescent="0.2">
      <c r="A20" s="18"/>
      <c r="E20" s="25"/>
      <c r="V20" s="20"/>
      <c r="W20" s="20"/>
      <c r="X20" s="20"/>
      <c r="Y20" s="20" t="s">
        <v>60</v>
      </c>
      <c r="AB20" s="21"/>
      <c r="AC20" s="22"/>
    </row>
    <row r="21" spans="1:29" ht="34" x14ac:dyDescent="0.2">
      <c r="A21" s="7" t="s">
        <v>67</v>
      </c>
      <c r="B21" s="12">
        <v>1.9999999999999999E-7</v>
      </c>
      <c r="C21" s="3">
        <v>1.2</v>
      </c>
      <c r="D21" s="3">
        <v>128</v>
      </c>
      <c r="E21" s="13">
        <v>2.6</v>
      </c>
      <c r="F21" s="3">
        <v>1.5E-3</v>
      </c>
      <c r="G21" s="3">
        <v>0.45535209999999998</v>
      </c>
      <c r="H21" s="3">
        <v>5.4781999999999999E-3</v>
      </c>
      <c r="I21" s="3">
        <v>0.32886680000000001</v>
      </c>
      <c r="J21" s="11">
        <v>0.31102000000000002</v>
      </c>
      <c r="K21" s="11">
        <v>0.20457</v>
      </c>
      <c r="L21" s="3">
        <f t="shared" ref="L21:L29" si="5">G21/N21</f>
        <v>4.553521E-2</v>
      </c>
      <c r="M21" s="3">
        <v>2E-3</v>
      </c>
      <c r="N21" s="3">
        <v>10</v>
      </c>
      <c r="V21" s="5" t="s">
        <v>68</v>
      </c>
      <c r="Y21" s="5" t="s">
        <v>31</v>
      </c>
      <c r="Z21" s="3" t="s">
        <v>39</v>
      </c>
      <c r="AB21" s="4" t="s">
        <v>69</v>
      </c>
    </row>
    <row r="22" spans="1:29" ht="34" x14ac:dyDescent="0.2">
      <c r="A22" s="7" t="s">
        <v>70</v>
      </c>
      <c r="B22" s="12">
        <v>1.9999999999999999E-7</v>
      </c>
      <c r="C22" s="3">
        <v>1.2</v>
      </c>
      <c r="D22" s="3">
        <v>128</v>
      </c>
      <c r="E22" s="13">
        <v>3</v>
      </c>
      <c r="F22" s="3">
        <v>1.5E-3</v>
      </c>
      <c r="G22" s="3">
        <v>0.43414350000000002</v>
      </c>
      <c r="H22" s="3">
        <v>5.2230000000000002E-3</v>
      </c>
      <c r="I22" s="3">
        <v>0.3617862</v>
      </c>
      <c r="J22" s="11">
        <v>0.28272000000000003</v>
      </c>
      <c r="K22" s="11">
        <v>0.20457</v>
      </c>
      <c r="L22" s="3">
        <f t="shared" si="5"/>
        <v>4.3414350000000004E-2</v>
      </c>
      <c r="M22" s="3">
        <v>2E-3</v>
      </c>
      <c r="N22" s="3">
        <v>10</v>
      </c>
      <c r="V22" s="16" t="s">
        <v>71</v>
      </c>
      <c r="Y22" s="5" t="s">
        <v>31</v>
      </c>
      <c r="Z22" s="3" t="s">
        <v>39</v>
      </c>
    </row>
    <row r="23" spans="1:29" ht="34" x14ac:dyDescent="0.2">
      <c r="A23" s="7" t="s">
        <v>72</v>
      </c>
      <c r="B23" s="12">
        <v>1.9999999999999999E-7</v>
      </c>
      <c r="C23" s="3">
        <v>1.2</v>
      </c>
      <c r="D23" s="3">
        <v>128</v>
      </c>
      <c r="E23" s="13">
        <v>3.4</v>
      </c>
      <c r="F23" s="3">
        <v>1.5E-3</v>
      </c>
      <c r="G23" s="3">
        <v>0.41640319999999997</v>
      </c>
      <c r="H23" s="3">
        <v>5.0096000000000003E-3</v>
      </c>
      <c r="I23" s="3">
        <v>0.3932697</v>
      </c>
      <c r="J23" s="11">
        <v>0.26008999999999999</v>
      </c>
      <c r="K23" s="11">
        <v>0.20457</v>
      </c>
      <c r="L23" s="3">
        <f t="shared" si="5"/>
        <v>4.1640319999999995E-2</v>
      </c>
      <c r="M23" s="3">
        <v>2E-3</v>
      </c>
      <c r="N23" s="3">
        <v>10</v>
      </c>
      <c r="V23" s="16" t="s">
        <v>73</v>
      </c>
      <c r="Y23" s="5" t="s">
        <v>31</v>
      </c>
      <c r="Z23" s="3" t="s">
        <v>39</v>
      </c>
    </row>
    <row r="24" spans="1:29" ht="34" x14ac:dyDescent="0.2">
      <c r="A24" s="7" t="s">
        <v>74</v>
      </c>
      <c r="B24" s="12">
        <v>1.9999999999999999E-7</v>
      </c>
      <c r="C24" s="3">
        <v>1.2</v>
      </c>
      <c r="D24" s="3">
        <v>128</v>
      </c>
      <c r="E24" s="13">
        <v>3.8</v>
      </c>
      <c r="F24" s="3">
        <v>1.5E-3</v>
      </c>
      <c r="G24" s="3">
        <v>0.40124759999999998</v>
      </c>
      <c r="H24" s="3">
        <v>4.8272999999999996E-3</v>
      </c>
      <c r="I24" s="3">
        <v>0.4235392</v>
      </c>
      <c r="J24" s="11">
        <v>0.24149999999999999</v>
      </c>
      <c r="K24" s="11">
        <v>0.20457</v>
      </c>
      <c r="L24" s="3">
        <f t="shared" si="5"/>
        <v>4.0124759999999995E-2</v>
      </c>
      <c r="M24" s="3">
        <v>2E-3</v>
      </c>
      <c r="N24" s="3">
        <v>10</v>
      </c>
      <c r="V24" s="16" t="s">
        <v>87</v>
      </c>
      <c r="Y24" s="5" t="s">
        <v>31</v>
      </c>
      <c r="Z24" s="3" t="s">
        <v>39</v>
      </c>
    </row>
    <row r="25" spans="1:29" ht="34" x14ac:dyDescent="0.2">
      <c r="A25" s="7" t="s">
        <v>76</v>
      </c>
      <c r="B25" s="12">
        <v>1.9999999999999999E-7</v>
      </c>
      <c r="C25" s="3">
        <v>1.2</v>
      </c>
      <c r="D25" s="3">
        <v>128</v>
      </c>
      <c r="E25" s="13">
        <v>4.2</v>
      </c>
      <c r="F25" s="3">
        <v>1.5E-3</v>
      </c>
      <c r="G25" s="3">
        <v>0.38808239999999999</v>
      </c>
      <c r="H25" s="3">
        <v>4.6689000000000001E-3</v>
      </c>
      <c r="I25" s="3">
        <v>0.45276280000000002</v>
      </c>
      <c r="J25" s="11">
        <v>0.22591</v>
      </c>
      <c r="K25" s="11">
        <v>0.20457</v>
      </c>
      <c r="L25" s="3">
        <f t="shared" si="5"/>
        <v>3.8808240000000001E-2</v>
      </c>
      <c r="M25" s="3">
        <v>2E-3</v>
      </c>
      <c r="N25" s="3">
        <v>10</v>
      </c>
      <c r="V25" s="16" t="s">
        <v>88</v>
      </c>
      <c r="Y25" s="5" t="s">
        <v>31</v>
      </c>
      <c r="Z25" s="3" t="s">
        <v>44</v>
      </c>
    </row>
    <row r="26" spans="1:29" ht="34" x14ac:dyDescent="0.2">
      <c r="A26" s="7" t="s">
        <v>77</v>
      </c>
      <c r="B26" s="12">
        <v>1.9999999999999999E-7</v>
      </c>
      <c r="C26" s="3">
        <v>1.2</v>
      </c>
      <c r="D26" s="3">
        <v>128</v>
      </c>
      <c r="E26" s="13">
        <v>4.5999999999999996</v>
      </c>
      <c r="F26" s="3">
        <v>1.5E-3</v>
      </c>
      <c r="G26" s="3">
        <v>0.37649080000000001</v>
      </c>
      <c r="H26" s="3">
        <v>4.5294000000000003E-3</v>
      </c>
      <c r="I26" s="3">
        <v>0.48107159999999999</v>
      </c>
      <c r="J26" s="11">
        <v>0.21262</v>
      </c>
      <c r="K26" s="11">
        <v>0.20457</v>
      </c>
      <c r="L26" s="3">
        <f t="shared" si="5"/>
        <v>3.7649080000000001E-2</v>
      </c>
      <c r="M26" s="3">
        <v>2E-3</v>
      </c>
      <c r="N26" s="3">
        <v>10</v>
      </c>
      <c r="V26" s="16" t="s">
        <v>89</v>
      </c>
      <c r="Y26" s="5" t="s">
        <v>31</v>
      </c>
      <c r="Z26" s="3" t="s">
        <v>57</v>
      </c>
    </row>
    <row r="27" spans="1:29" ht="34" x14ac:dyDescent="0.2">
      <c r="A27" s="7" t="s">
        <v>78</v>
      </c>
      <c r="B27" s="12">
        <v>1.9999999999999999E-7</v>
      </c>
      <c r="C27" s="3">
        <v>1.2</v>
      </c>
      <c r="D27" s="3">
        <v>128</v>
      </c>
      <c r="E27" s="13">
        <v>5</v>
      </c>
      <c r="F27" s="3">
        <v>1.5E-3</v>
      </c>
      <c r="G27" s="3">
        <v>0.36617080000000002</v>
      </c>
      <c r="H27" s="3">
        <v>4.4053E-3</v>
      </c>
      <c r="I27" s="3">
        <v>0.50857050000000004</v>
      </c>
      <c r="J27" s="11">
        <v>0.20111999999999999</v>
      </c>
      <c r="K27" s="11">
        <v>0.20457</v>
      </c>
      <c r="L27" s="3">
        <f t="shared" si="5"/>
        <v>3.6617080000000003E-2</v>
      </c>
      <c r="M27" s="3">
        <v>2E-3</v>
      </c>
      <c r="N27" s="3">
        <v>10</v>
      </c>
      <c r="V27" s="16" t="s">
        <v>90</v>
      </c>
      <c r="Y27" s="5" t="s">
        <v>31</v>
      </c>
      <c r="Z27" s="3" t="s">
        <v>58</v>
      </c>
    </row>
    <row r="28" spans="1:29" ht="34" x14ac:dyDescent="0.2">
      <c r="A28" s="7" t="s">
        <v>79</v>
      </c>
      <c r="B28" s="12">
        <v>1.9999999999999999E-7</v>
      </c>
      <c r="C28" s="3">
        <v>1.2</v>
      </c>
      <c r="D28" s="3">
        <v>128</v>
      </c>
      <c r="E28" s="13">
        <v>5.4</v>
      </c>
      <c r="F28" s="3">
        <v>1.5E-3</v>
      </c>
      <c r="G28" s="3">
        <v>0.35689660000000001</v>
      </c>
      <c r="H28" s="3">
        <v>4.2937000000000001E-3</v>
      </c>
      <c r="I28" s="3">
        <v>0.53534490000000001</v>
      </c>
      <c r="J28" s="11">
        <v>0.19106000000000001</v>
      </c>
      <c r="K28" s="11">
        <v>0.20457</v>
      </c>
      <c r="L28" s="3">
        <f t="shared" si="5"/>
        <v>3.5689659999999998E-2</v>
      </c>
      <c r="M28" s="3">
        <v>2E-3</v>
      </c>
      <c r="N28" s="3">
        <v>10</v>
      </c>
      <c r="V28" s="16" t="s">
        <v>91</v>
      </c>
      <c r="Y28" s="5" t="s">
        <v>31</v>
      </c>
      <c r="Z28" s="3" t="s">
        <v>39</v>
      </c>
    </row>
    <row r="29" spans="1:29" ht="34" x14ac:dyDescent="0.2">
      <c r="A29" s="7" t="s">
        <v>80</v>
      </c>
      <c r="B29" s="12">
        <v>1.9999999999999999E-7</v>
      </c>
      <c r="C29" s="3">
        <v>1.2</v>
      </c>
      <c r="D29" s="3">
        <v>128</v>
      </c>
      <c r="E29" s="13">
        <v>5.8</v>
      </c>
      <c r="F29" s="3">
        <v>1.5E-3</v>
      </c>
      <c r="G29" s="3">
        <v>0.34849590000000003</v>
      </c>
      <c r="H29" s="3">
        <v>4.1926000000000003E-3</v>
      </c>
      <c r="I29" s="3">
        <v>0.56146569999999996</v>
      </c>
      <c r="J29" s="11">
        <v>0.18217</v>
      </c>
      <c r="K29" s="11">
        <v>0.20457</v>
      </c>
      <c r="L29" s="3">
        <f t="shared" si="5"/>
        <v>3.484959E-2</v>
      </c>
      <c r="M29" s="3">
        <v>2E-3</v>
      </c>
      <c r="N29" s="3">
        <v>10</v>
      </c>
      <c r="V29" s="16" t="s">
        <v>92</v>
      </c>
      <c r="Y29" s="5" t="s">
        <v>31</v>
      </c>
      <c r="Z29" s="3" t="s">
        <v>44</v>
      </c>
    </row>
    <row r="30" spans="1:29" s="19" customFormat="1" ht="8" customHeight="1" x14ac:dyDescent="0.2">
      <c r="A30" s="18"/>
      <c r="B30" s="24"/>
      <c r="E30" s="25"/>
      <c r="J30" s="23"/>
      <c r="K30" s="23"/>
      <c r="V30" s="29"/>
      <c r="W30" s="20"/>
      <c r="X30" s="20"/>
      <c r="Y30" s="5" t="s">
        <v>60</v>
      </c>
      <c r="AB30" s="21"/>
      <c r="AC30" s="22"/>
    </row>
    <row r="31" spans="1:29" s="40" customFormat="1" ht="34" x14ac:dyDescent="0.2">
      <c r="A31" s="38" t="s">
        <v>81</v>
      </c>
      <c r="B31" s="39">
        <v>1.9999999999999999E-7</v>
      </c>
      <c r="C31" s="40">
        <v>1.2</v>
      </c>
      <c r="D31" s="40">
        <v>128</v>
      </c>
      <c r="E31" s="41">
        <v>5</v>
      </c>
      <c r="F31" s="40">
        <v>1.1000000000000001E-3</v>
      </c>
      <c r="G31" s="40">
        <v>0.55370929999999996</v>
      </c>
      <c r="H31" s="40">
        <v>3.5823999999999999E-3</v>
      </c>
      <c r="I31" s="40">
        <v>0.76904070000000002</v>
      </c>
      <c r="J31" s="42">
        <v>0.45989000000000002</v>
      </c>
      <c r="K31" s="42">
        <v>0.70735000000000003</v>
      </c>
      <c r="L31" s="40">
        <f>G31/N31</f>
        <v>5.5370929999999999E-2</v>
      </c>
      <c r="M31" s="40">
        <v>2E-3</v>
      </c>
      <c r="N31" s="40">
        <v>10</v>
      </c>
      <c r="O31" s="39">
        <f>N31*G$1/B31</f>
        <v>10000000</v>
      </c>
      <c r="P31" s="40">
        <v>5.54</v>
      </c>
      <c r="Q31" s="40">
        <v>8.0000000000000004E-4</v>
      </c>
      <c r="R31" s="40">
        <v>33.370800000000003</v>
      </c>
      <c r="S31" s="41">
        <f>R31/3*N31</f>
        <v>111.23600000000002</v>
      </c>
      <c r="T31" s="40">
        <v>0.60229999999999995</v>
      </c>
      <c r="U31" s="43">
        <f>T31/N31</f>
        <v>6.0229999999999992E-2</v>
      </c>
      <c r="V31" s="44" t="s">
        <v>93</v>
      </c>
      <c r="W31" s="44" t="s">
        <v>96</v>
      </c>
      <c r="X31" s="45" t="s">
        <v>107</v>
      </c>
      <c r="Y31" s="45" t="s">
        <v>31</v>
      </c>
      <c r="Z31" s="40" t="s">
        <v>102</v>
      </c>
      <c r="AB31" s="46" t="s">
        <v>85</v>
      </c>
      <c r="AC31" s="47"/>
    </row>
    <row r="32" spans="1:29" ht="34" x14ac:dyDescent="0.2">
      <c r="A32" s="7" t="s">
        <v>82</v>
      </c>
      <c r="B32" s="12">
        <v>1.9999999999999999E-7</v>
      </c>
      <c r="C32" s="3">
        <v>1.2</v>
      </c>
      <c r="D32" s="3">
        <v>128</v>
      </c>
      <c r="E32" s="13">
        <v>5</v>
      </c>
      <c r="F32" s="3">
        <v>8.0000000000000004E-4</v>
      </c>
      <c r="G32" s="3">
        <v>0.84661390000000003</v>
      </c>
      <c r="H32" s="3">
        <v>2.8971999999999999E-3</v>
      </c>
      <c r="I32" s="3">
        <v>1.1758526</v>
      </c>
      <c r="J32" s="11">
        <v>1.0750999999999999</v>
      </c>
      <c r="K32" s="11">
        <v>2.5284</v>
      </c>
      <c r="L32" s="3">
        <f>G32/N32</f>
        <v>8.4661390000000003E-2</v>
      </c>
      <c r="M32" s="3">
        <v>2E-3</v>
      </c>
      <c r="N32" s="3">
        <v>10</v>
      </c>
      <c r="O32" s="12">
        <f>N32*G$1/B32</f>
        <v>10000000</v>
      </c>
      <c r="P32" s="3">
        <v>5.54</v>
      </c>
      <c r="Q32" s="3">
        <v>8.0000000000000004E-4</v>
      </c>
      <c r="R32" s="3">
        <v>33.245899999999999</v>
      </c>
      <c r="S32" s="13">
        <f>R32/3*N32</f>
        <v>110.81966666666666</v>
      </c>
      <c r="T32" s="3">
        <v>0.89219999999999999</v>
      </c>
      <c r="U32" s="14">
        <f>T32/N32</f>
        <v>8.9219999999999994E-2</v>
      </c>
      <c r="V32" s="16" t="s">
        <v>94</v>
      </c>
      <c r="W32" s="5" t="s">
        <v>97</v>
      </c>
      <c r="X32" s="5" t="s">
        <v>108</v>
      </c>
      <c r="Y32" s="5" t="s">
        <v>31</v>
      </c>
      <c r="Z32" s="3" t="s">
        <v>103</v>
      </c>
      <c r="AB32" s="196" t="s">
        <v>100</v>
      </c>
    </row>
    <row r="33" spans="1:29" ht="34" x14ac:dyDescent="0.2">
      <c r="A33" s="7" t="s">
        <v>83</v>
      </c>
      <c r="B33" s="12">
        <v>1.9999999999999999E-7</v>
      </c>
      <c r="C33" s="3">
        <v>1.2</v>
      </c>
      <c r="D33" s="3">
        <v>128</v>
      </c>
      <c r="E33" s="13">
        <v>5</v>
      </c>
      <c r="F33" s="3">
        <v>1.8E-3</v>
      </c>
      <c r="G33" s="3">
        <v>0.28714990000000001</v>
      </c>
      <c r="H33" s="3">
        <v>4.9746E-3</v>
      </c>
      <c r="I33" s="3">
        <v>0.39881929999999999</v>
      </c>
      <c r="J33" s="11">
        <v>0.12368</v>
      </c>
      <c r="K33" s="11">
        <v>9.8654000000000006E-2</v>
      </c>
      <c r="L33" s="3">
        <f>G33/N33</f>
        <v>2.8714990000000003E-2</v>
      </c>
      <c r="M33" s="3">
        <v>2E-3</v>
      </c>
      <c r="N33" s="3">
        <v>10</v>
      </c>
      <c r="O33" s="12">
        <f>N33*G$1/B33</f>
        <v>10000000</v>
      </c>
      <c r="P33" s="3">
        <v>5.54</v>
      </c>
      <c r="Q33" s="3">
        <v>8.0000000000000004E-4</v>
      </c>
      <c r="R33" s="3">
        <v>33.0261</v>
      </c>
      <c r="S33" s="13">
        <f>R33/3*N33</f>
        <v>110.08699999999999</v>
      </c>
      <c r="T33" s="3">
        <v>0.31069999999999998</v>
      </c>
      <c r="U33" s="14">
        <f>T33/N33</f>
        <v>3.1069999999999997E-2</v>
      </c>
      <c r="V33" s="16" t="s">
        <v>86</v>
      </c>
      <c r="W33" s="5" t="s">
        <v>101</v>
      </c>
      <c r="X33" s="5" t="s">
        <v>109</v>
      </c>
      <c r="Y33" s="5" t="s">
        <v>31</v>
      </c>
      <c r="Z33" s="3" t="s">
        <v>104</v>
      </c>
      <c r="AB33" s="196"/>
    </row>
    <row r="34" spans="1:29" ht="34" x14ac:dyDescent="0.2">
      <c r="A34" s="7" t="s">
        <v>84</v>
      </c>
      <c r="B34" s="12">
        <v>1.9999999999999999E-6</v>
      </c>
      <c r="C34" s="3">
        <v>1.2</v>
      </c>
      <c r="D34" s="3">
        <v>128</v>
      </c>
      <c r="E34" s="13">
        <v>5</v>
      </c>
      <c r="F34" s="3">
        <v>6.1999999999999998E-3</v>
      </c>
      <c r="G34" s="3">
        <v>0.55201359999999999</v>
      </c>
      <c r="H34" s="3">
        <v>1.1346E-2</v>
      </c>
      <c r="I34" s="3">
        <v>0.76668559999999997</v>
      </c>
      <c r="J34" s="11">
        <v>0.45707999999999999</v>
      </c>
      <c r="K34" s="11">
        <v>0.70086999999999999</v>
      </c>
      <c r="L34" s="3">
        <f>G34/N34</f>
        <v>5.5201359999999998E-2</v>
      </c>
      <c r="M34" s="3">
        <v>1E-3</v>
      </c>
      <c r="N34" s="3">
        <v>10</v>
      </c>
      <c r="O34" s="12">
        <f>N34*G$1/B34</f>
        <v>1000000</v>
      </c>
      <c r="P34" s="3">
        <v>5.54</v>
      </c>
      <c r="Q34" s="3">
        <v>8.0000000000000004E-4</v>
      </c>
      <c r="R34" s="3">
        <v>32.082799999999999</v>
      </c>
      <c r="S34" s="13">
        <f>R34/3*N34</f>
        <v>106.94266666666665</v>
      </c>
      <c r="T34" s="3">
        <v>0.58750000000000002</v>
      </c>
      <c r="U34" s="14">
        <f>T34/N34</f>
        <v>5.8750000000000004E-2</v>
      </c>
      <c r="V34" s="16" t="s">
        <v>111</v>
      </c>
      <c r="W34" s="16" t="s">
        <v>112</v>
      </c>
      <c r="X34" s="5" t="s">
        <v>114</v>
      </c>
      <c r="Y34" s="5" t="s">
        <v>31</v>
      </c>
      <c r="Z34" s="3" t="s">
        <v>43</v>
      </c>
      <c r="AB34" s="195" t="s">
        <v>99</v>
      </c>
    </row>
    <row r="35" spans="1:29" ht="34" x14ac:dyDescent="0.2">
      <c r="A35" s="30" t="s">
        <v>98</v>
      </c>
      <c r="B35" s="31">
        <v>2.0000000000000002E-5</v>
      </c>
      <c r="C35" s="32">
        <v>1.2</v>
      </c>
      <c r="D35" s="32">
        <v>128</v>
      </c>
      <c r="E35" s="33">
        <v>5</v>
      </c>
      <c r="F35" s="32">
        <v>3.5000000000000003E-2</v>
      </c>
      <c r="G35" s="32">
        <v>0.54917990000000005</v>
      </c>
      <c r="H35" s="32">
        <v>3.5971499999999997E-2</v>
      </c>
      <c r="I35" s="32">
        <v>0.76274989999999998</v>
      </c>
      <c r="J35" s="34">
        <v>0.45240000000000002</v>
      </c>
      <c r="K35" s="34">
        <v>0.69013000000000002</v>
      </c>
      <c r="L35" s="3">
        <f>G35/N35</f>
        <v>5.4917990000000007E-2</v>
      </c>
      <c r="M35" s="3">
        <v>1E-3</v>
      </c>
      <c r="N35" s="32">
        <v>10</v>
      </c>
      <c r="O35" s="12">
        <f>N35*G$1/B35</f>
        <v>99999.999999999985</v>
      </c>
      <c r="P35" s="3">
        <v>5.54</v>
      </c>
      <c r="Q35" s="3">
        <v>8.0000000000000004E-4</v>
      </c>
      <c r="R35" s="3">
        <v>31.821999999999999</v>
      </c>
      <c r="S35" s="13">
        <f>R35/3*N35</f>
        <v>106.07333333333332</v>
      </c>
      <c r="T35" s="32">
        <v>0.58989999999999998</v>
      </c>
      <c r="U35" s="14">
        <f>T35/N35</f>
        <v>5.8990000000000001E-2</v>
      </c>
      <c r="V35" s="35" t="s">
        <v>110</v>
      </c>
      <c r="W35" s="35" t="s">
        <v>113</v>
      </c>
      <c r="X35" s="36" t="s">
        <v>115</v>
      </c>
      <c r="Y35" s="5" t="s">
        <v>31</v>
      </c>
      <c r="Z35" s="32" t="s">
        <v>39</v>
      </c>
      <c r="AA35" s="32"/>
      <c r="AB35" s="195"/>
      <c r="AC35" s="37"/>
    </row>
    <row r="36" spans="1:29" s="19" customFormat="1" ht="8" customHeight="1" x14ac:dyDescent="0.2">
      <c r="A36" s="18"/>
      <c r="B36" s="24"/>
      <c r="E36" s="25"/>
      <c r="J36" s="23"/>
      <c r="K36" s="23"/>
      <c r="V36" s="29"/>
      <c r="W36" s="20"/>
      <c r="X36" s="20"/>
      <c r="Y36" s="5" t="s">
        <v>60</v>
      </c>
      <c r="AB36" s="21"/>
      <c r="AC36" s="22"/>
    </row>
    <row r="37" spans="1:29" ht="34" x14ac:dyDescent="0.2">
      <c r="A37" s="7" t="s">
        <v>116</v>
      </c>
      <c r="B37" s="12">
        <v>1.8E-5</v>
      </c>
      <c r="C37" s="3">
        <v>1000</v>
      </c>
      <c r="D37" s="3">
        <v>128</v>
      </c>
      <c r="E37" s="13">
        <v>5</v>
      </c>
      <c r="F37" s="3">
        <v>1.7000000000000001E-4</v>
      </c>
      <c r="G37" s="3">
        <v>0.72104749999999995</v>
      </c>
      <c r="H37" s="3">
        <v>0.85973540000000004</v>
      </c>
      <c r="I37" s="3">
        <v>1.2017E-3</v>
      </c>
      <c r="J37" s="11">
        <v>0.77986433904576757</v>
      </c>
      <c r="K37" s="34">
        <v>1.8743975519833352E-3</v>
      </c>
      <c r="L37" s="3">
        <f>G37/10</f>
        <v>7.2104749999999995E-2</v>
      </c>
      <c r="M37" s="3">
        <v>0.02</v>
      </c>
      <c r="N37" s="3">
        <v>10</v>
      </c>
      <c r="O37" s="12"/>
      <c r="S37" s="13"/>
      <c r="U37" s="14"/>
      <c r="V37" s="16" t="s">
        <v>118</v>
      </c>
      <c r="W37" s="5" t="s">
        <v>119</v>
      </c>
      <c r="Z37" s="3" t="s">
        <v>43</v>
      </c>
      <c r="AB37" s="4" t="s">
        <v>117</v>
      </c>
    </row>
  </sheetData>
  <mergeCells count="12">
    <mergeCell ref="AB34:AB35"/>
    <mergeCell ref="AB32:AB33"/>
    <mergeCell ref="AB12:AB14"/>
    <mergeCell ref="AB15:AB16"/>
    <mergeCell ref="AB6:AB8"/>
    <mergeCell ref="AB9:AB10"/>
    <mergeCell ref="AB18:AB19"/>
    <mergeCell ref="U1:Z1"/>
    <mergeCell ref="AB4:AC4"/>
    <mergeCell ref="V3:AC3"/>
    <mergeCell ref="N3:U3"/>
    <mergeCell ref="B3:L3"/>
  </mergeCells>
  <phoneticPr fontId="4" type="noConversion"/>
  <conditionalFormatting sqref="Y1:Y1048576">
    <cfRule type="containsText" dxfId="15" priority="1" operator="containsText" text=".">
      <formula>NOT(ISERROR(SEARCH(".",Y1)))</formula>
    </cfRule>
  </conditionalFormatting>
  <conditionalFormatting sqref="Y5:Y99">
    <cfRule type="containsBlanks" dxfId="14" priority="2">
      <formula>LEN(TRIM(Y5))=0</formula>
    </cfRule>
    <cfRule type="notContainsText" dxfId="13" priority="3" operator="notContains" text="done">
      <formula>ISERROR(SEARCH("done",Y5))</formula>
    </cfRule>
  </conditionalFormatting>
  <pageMargins left="0.7" right="0.7" top="0.75" bottom="0.75" header="0.3" footer="0.3"/>
  <ignoredErrors>
    <ignoredError sqref="A5:A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5137-B137-9945-BB6C-72DABC7C1BF8}">
  <dimension ref="A2:O35"/>
  <sheetViews>
    <sheetView workbookViewId="0">
      <selection activeCell="L27" sqref="L27"/>
    </sheetView>
  </sheetViews>
  <sheetFormatPr baseColWidth="10" defaultRowHeight="21" x14ac:dyDescent="0.25"/>
  <cols>
    <col min="1" max="14" width="10.83203125" style="54"/>
    <col min="15" max="15" width="11.1640625" style="54" bestFit="1" customWidth="1"/>
    <col min="16" max="16384" width="10.83203125" style="54"/>
  </cols>
  <sheetData>
    <row r="2" spans="1:15" x14ac:dyDescent="0.25">
      <c r="A2" s="55" t="s">
        <v>160</v>
      </c>
      <c r="C2" s="54">
        <v>0</v>
      </c>
      <c r="D2" s="54">
        <f>D3/126</f>
        <v>1</v>
      </c>
      <c r="E2" s="54">
        <f>E3/126</f>
        <v>3</v>
      </c>
      <c r="F2" s="54">
        <f>F3/126</f>
        <v>5</v>
      </c>
      <c r="G2" s="54">
        <f>G3/126</f>
        <v>7</v>
      </c>
      <c r="H2" s="54">
        <f>H3/126</f>
        <v>11</v>
      </c>
      <c r="I2" s="54" t="s">
        <v>123</v>
      </c>
    </row>
    <row r="3" spans="1:15" x14ac:dyDescent="0.25">
      <c r="C3" s="55">
        <v>0</v>
      </c>
      <c r="D3" s="54">
        <v>126</v>
      </c>
      <c r="E3" s="54">
        <v>378</v>
      </c>
      <c r="F3" s="54">
        <v>630</v>
      </c>
      <c r="G3" s="54">
        <v>882</v>
      </c>
      <c r="H3" s="54">
        <v>1386</v>
      </c>
    </row>
    <row r="4" spans="1:15" x14ac:dyDescent="0.25">
      <c r="A4" s="54" t="s">
        <v>148</v>
      </c>
      <c r="B4" s="54">
        <f>C4-2*D3</f>
        <v>3748</v>
      </c>
      <c r="C4" s="56">
        <v>4000</v>
      </c>
      <c r="D4" s="57">
        <f>$C4+D3</f>
        <v>4126</v>
      </c>
      <c r="E4" s="57">
        <f>$C4+E3</f>
        <v>4378</v>
      </c>
      <c r="F4" s="57">
        <f>$C4+F3</f>
        <v>4630</v>
      </c>
      <c r="G4" s="57">
        <f>$C4+G3</f>
        <v>4882</v>
      </c>
      <c r="H4" s="57">
        <f>$C4+H3</f>
        <v>5386</v>
      </c>
    </row>
    <row r="5" spans="1:15" x14ac:dyDescent="0.25">
      <c r="A5" s="54" t="s">
        <v>149</v>
      </c>
      <c r="C5" s="55">
        <f>C4+13*126</f>
        <v>5638</v>
      </c>
      <c r="D5" s="54">
        <f>$C5+D3</f>
        <v>5764</v>
      </c>
      <c r="E5" s="54">
        <f>$C5+E3</f>
        <v>6016</v>
      </c>
      <c r="F5" s="54">
        <f>$C5+F3</f>
        <v>6268</v>
      </c>
      <c r="G5" s="54">
        <f>$C5+G3</f>
        <v>6520</v>
      </c>
      <c r="H5" s="54">
        <f>$C5+H3</f>
        <v>7024</v>
      </c>
      <c r="J5" s="60" t="s">
        <v>162</v>
      </c>
      <c r="K5" s="54">
        <v>10100</v>
      </c>
      <c r="L5" s="60" t="s">
        <v>45</v>
      </c>
      <c r="M5" s="54">
        <v>1280</v>
      </c>
      <c r="N5" s="60" t="s">
        <v>163</v>
      </c>
      <c r="O5" s="61">
        <f>K5/M5</f>
        <v>7.890625</v>
      </c>
    </row>
    <row r="6" spans="1:15" x14ac:dyDescent="0.25">
      <c r="A6" s="54" t="s">
        <v>150</v>
      </c>
      <c r="C6" s="55">
        <f>C5+13*126</f>
        <v>7276</v>
      </c>
      <c r="D6" s="54">
        <f>$C6+D3</f>
        <v>7402</v>
      </c>
      <c r="E6" s="54">
        <f>$C6+E3</f>
        <v>7654</v>
      </c>
      <c r="F6" s="54">
        <f>$C6+F3</f>
        <v>7906</v>
      </c>
      <c r="G6" s="54">
        <f>$C6+G3</f>
        <v>8158</v>
      </c>
      <c r="H6" s="54">
        <f>$C6+H3</f>
        <v>8662</v>
      </c>
    </row>
    <row r="7" spans="1:15" x14ac:dyDescent="0.25">
      <c r="A7" s="54" t="s">
        <v>151</v>
      </c>
      <c r="C7" s="55">
        <f>C6+13*126</f>
        <v>8914</v>
      </c>
      <c r="D7" s="54">
        <f>$C7+D3</f>
        <v>9040</v>
      </c>
      <c r="E7" s="54">
        <f>$C7+E3</f>
        <v>9292</v>
      </c>
      <c r="F7" s="54">
        <f>$C7+F3</f>
        <v>9544</v>
      </c>
      <c r="G7" s="54">
        <f>$C7+G3</f>
        <v>9796</v>
      </c>
      <c r="H7" s="54">
        <f>$C7+H3</f>
        <v>10300</v>
      </c>
      <c r="J7" s="54" t="s">
        <v>164</v>
      </c>
      <c r="L7" s="54">
        <f>C9/10+12000</f>
        <v>13219</v>
      </c>
    </row>
    <row r="8" spans="1:15" x14ac:dyDescent="0.25">
      <c r="A8" s="54" t="s">
        <v>152</v>
      </c>
      <c r="C8" s="55">
        <f>C7+13*126</f>
        <v>10552</v>
      </c>
      <c r="D8" s="54">
        <f>$C8+D3</f>
        <v>10678</v>
      </c>
      <c r="E8" s="54">
        <f>$C8+E3</f>
        <v>10930</v>
      </c>
      <c r="F8" s="54">
        <f>$C8+F3</f>
        <v>11182</v>
      </c>
      <c r="G8" s="54">
        <f>$C8+G3</f>
        <v>11434</v>
      </c>
      <c r="H8" s="54">
        <f>$C8+H3</f>
        <v>11938</v>
      </c>
    </row>
    <row r="9" spans="1:15" x14ac:dyDescent="0.25">
      <c r="A9" s="54" t="s">
        <v>153</v>
      </c>
      <c r="C9" s="55">
        <f>C8+13*126</f>
        <v>12190</v>
      </c>
      <c r="D9" s="54">
        <f>$C9+D3</f>
        <v>12316</v>
      </c>
      <c r="E9" s="54">
        <f>$C9+E3</f>
        <v>12568</v>
      </c>
      <c r="F9" s="54">
        <f>$C9+F3</f>
        <v>12820</v>
      </c>
      <c r="G9" s="54">
        <f>$C9+G3</f>
        <v>13072</v>
      </c>
      <c r="H9" s="54">
        <f>$C9+H3</f>
        <v>13576</v>
      </c>
    </row>
    <row r="15" spans="1:15" x14ac:dyDescent="0.25">
      <c r="A15" s="55" t="s">
        <v>161</v>
      </c>
      <c r="C15" s="54">
        <v>0</v>
      </c>
      <c r="D15" s="54">
        <f>D16/126</f>
        <v>1</v>
      </c>
      <c r="E15" s="54">
        <f>E16/126</f>
        <v>3</v>
      </c>
      <c r="F15" s="54">
        <f>F16/126</f>
        <v>5</v>
      </c>
      <c r="G15" s="54">
        <f>G16/126</f>
        <v>7</v>
      </c>
      <c r="H15" s="54" t="s">
        <v>123</v>
      </c>
    </row>
    <row r="16" spans="1:15" x14ac:dyDescent="0.25">
      <c r="C16" s="55">
        <v>0</v>
      </c>
      <c r="D16" s="54">
        <v>126</v>
      </c>
      <c r="E16" s="54">
        <v>378</v>
      </c>
      <c r="F16" s="54">
        <v>630</v>
      </c>
      <c r="G16" s="54">
        <v>882</v>
      </c>
    </row>
    <row r="17" spans="1:15" x14ac:dyDescent="0.25">
      <c r="A17" s="54" t="s">
        <v>148</v>
      </c>
      <c r="B17" s="54">
        <f>C17-D16</f>
        <v>3874</v>
      </c>
      <c r="C17" s="56">
        <v>4000</v>
      </c>
      <c r="D17" s="57">
        <f>$C17+D16</f>
        <v>4126</v>
      </c>
      <c r="E17" s="57">
        <f>$C17+E16</f>
        <v>4378</v>
      </c>
      <c r="F17" s="57">
        <f>$C17+F16</f>
        <v>4630</v>
      </c>
      <c r="G17" s="57">
        <f>$C17+G16</f>
        <v>4882</v>
      </c>
      <c r="H17" s="57"/>
    </row>
    <row r="18" spans="1:15" x14ac:dyDescent="0.25">
      <c r="A18" s="54" t="s">
        <v>149</v>
      </c>
      <c r="C18" s="55">
        <f>C17+8*126</f>
        <v>5008</v>
      </c>
      <c r="D18" s="54">
        <f>$C18+D16</f>
        <v>5134</v>
      </c>
      <c r="E18" s="54">
        <f>$C18+E16</f>
        <v>5386</v>
      </c>
      <c r="F18" s="54">
        <f>$C18+F16</f>
        <v>5638</v>
      </c>
      <c r="G18" s="54">
        <f>$C18+G16</f>
        <v>5890</v>
      </c>
      <c r="J18" s="60" t="s">
        <v>162</v>
      </c>
      <c r="K18" s="54">
        <v>6500</v>
      </c>
      <c r="L18" s="60" t="s">
        <v>45</v>
      </c>
      <c r="M18" s="54">
        <v>812</v>
      </c>
      <c r="N18" s="60" t="s">
        <v>163</v>
      </c>
      <c r="O18" s="61">
        <f>K18/M18</f>
        <v>8.0049261083743843</v>
      </c>
    </row>
    <row r="19" spans="1:15" x14ac:dyDescent="0.25">
      <c r="A19" s="54" t="s">
        <v>150</v>
      </c>
      <c r="C19" s="55">
        <f>C18+8*126</f>
        <v>6016</v>
      </c>
      <c r="D19" s="54">
        <f>$C19+D16</f>
        <v>6142</v>
      </c>
      <c r="E19" s="54">
        <f>$C19+E16</f>
        <v>6394</v>
      </c>
      <c r="F19" s="54">
        <f>$C19+F16</f>
        <v>6646</v>
      </c>
      <c r="G19" s="54">
        <f>$C19+G16</f>
        <v>6898</v>
      </c>
    </row>
    <row r="20" spans="1:15" x14ac:dyDescent="0.25">
      <c r="A20" s="54" t="s">
        <v>151</v>
      </c>
      <c r="C20" s="55">
        <f>C19+8*126</f>
        <v>7024</v>
      </c>
      <c r="D20" s="54">
        <f>$C20+D16</f>
        <v>7150</v>
      </c>
      <c r="E20" s="54">
        <f>$C20+E16</f>
        <v>7402</v>
      </c>
      <c r="F20" s="54">
        <f>$C20+F16</f>
        <v>7654</v>
      </c>
      <c r="G20" s="54">
        <f>$C20+G16</f>
        <v>7906</v>
      </c>
      <c r="J20" s="54" t="s">
        <v>164</v>
      </c>
      <c r="L20" s="54">
        <f>C22/10+12000</f>
        <v>12904</v>
      </c>
    </row>
    <row r="21" spans="1:15" x14ac:dyDescent="0.25">
      <c r="A21" s="54" t="s">
        <v>152</v>
      </c>
      <c r="C21" s="55">
        <f>C20+8*126</f>
        <v>8032</v>
      </c>
      <c r="D21" s="54">
        <f>$C21+D16</f>
        <v>8158</v>
      </c>
      <c r="E21" s="54">
        <f>$C21+E16</f>
        <v>8410</v>
      </c>
      <c r="F21" s="54">
        <f>$C21+F16</f>
        <v>8662</v>
      </c>
      <c r="G21" s="54">
        <f>$C21+G16</f>
        <v>8914</v>
      </c>
    </row>
    <row r="22" spans="1:15" x14ac:dyDescent="0.25">
      <c r="A22" s="54" t="s">
        <v>153</v>
      </c>
      <c r="C22" s="55">
        <f>C21+8*126</f>
        <v>9040</v>
      </c>
      <c r="D22" s="54">
        <f>$C22+D16</f>
        <v>9166</v>
      </c>
      <c r="E22" s="54">
        <f>$C22+E16</f>
        <v>9418</v>
      </c>
      <c r="F22" s="54">
        <f>$C22+F16</f>
        <v>9670</v>
      </c>
      <c r="G22" s="54">
        <f>$C22+G16</f>
        <v>9922</v>
      </c>
    </row>
    <row r="28" spans="1:15" x14ac:dyDescent="0.25">
      <c r="A28" s="55" t="s">
        <v>213</v>
      </c>
      <c r="C28" s="54">
        <v>0</v>
      </c>
      <c r="D28" s="54">
        <f>D29/126</f>
        <v>1</v>
      </c>
      <c r="E28" s="54">
        <v>3</v>
      </c>
      <c r="F28" s="54">
        <v>5</v>
      </c>
      <c r="G28" s="54">
        <v>7</v>
      </c>
      <c r="H28" s="54">
        <v>9</v>
      </c>
      <c r="I28" s="54" t="s">
        <v>123</v>
      </c>
    </row>
    <row r="29" spans="1:15" x14ac:dyDescent="0.25">
      <c r="C29" s="55">
        <v>0</v>
      </c>
      <c r="D29" s="54">
        <v>126</v>
      </c>
      <c r="E29" s="54">
        <f>E28*$D29</f>
        <v>378</v>
      </c>
      <c r="F29" s="54">
        <f>F28*$D29</f>
        <v>630</v>
      </c>
      <c r="G29" s="54">
        <f>G28*$D29</f>
        <v>882</v>
      </c>
      <c r="H29" s="54">
        <f>H28*$D29</f>
        <v>1134</v>
      </c>
    </row>
    <row r="30" spans="1:15" x14ac:dyDescent="0.25">
      <c r="A30" s="54" t="s">
        <v>148</v>
      </c>
      <c r="B30" s="54">
        <f>C30-D29</f>
        <v>3874</v>
      </c>
      <c r="C30" s="56">
        <v>4000</v>
      </c>
      <c r="D30" s="57">
        <f>$C30+D29</f>
        <v>4126</v>
      </c>
      <c r="E30" s="57">
        <f>$C30+E29</f>
        <v>4378</v>
      </c>
      <c r="F30" s="57">
        <f>$C30+F29</f>
        <v>4630</v>
      </c>
      <c r="G30" s="57">
        <f>$C30+G29</f>
        <v>4882</v>
      </c>
      <c r="H30" s="57">
        <f>$C30+H29</f>
        <v>5134</v>
      </c>
    </row>
    <row r="31" spans="1:15" x14ac:dyDescent="0.25">
      <c r="A31" s="54" t="s">
        <v>149</v>
      </c>
      <c r="C31" s="55">
        <f>C30+10*126</f>
        <v>5260</v>
      </c>
      <c r="D31" s="54">
        <f>$C31+D29</f>
        <v>5386</v>
      </c>
      <c r="E31" s="54">
        <f>$C31+E29</f>
        <v>5638</v>
      </c>
      <c r="F31" s="54">
        <f>$C31+F29</f>
        <v>5890</v>
      </c>
      <c r="G31" s="54">
        <f>$C31+G29</f>
        <v>6142</v>
      </c>
      <c r="H31" s="54">
        <f>$C31+H29</f>
        <v>6394</v>
      </c>
    </row>
    <row r="32" spans="1:15" x14ac:dyDescent="0.25">
      <c r="A32" s="54" t="s">
        <v>150</v>
      </c>
      <c r="C32" s="55">
        <f>C31+10*126</f>
        <v>6520</v>
      </c>
      <c r="D32" s="54">
        <f>$C32+D29</f>
        <v>6646</v>
      </c>
      <c r="E32" s="54">
        <f>$C32+E29</f>
        <v>6898</v>
      </c>
      <c r="F32" s="54">
        <f>$C32+F29</f>
        <v>7150</v>
      </c>
      <c r="G32" s="54">
        <f>$C32+G29</f>
        <v>7402</v>
      </c>
      <c r="H32" s="54">
        <f>$C32+H29</f>
        <v>7654</v>
      </c>
    </row>
    <row r="33" spans="1:8" x14ac:dyDescent="0.25">
      <c r="A33" s="54" t="s">
        <v>151</v>
      </c>
      <c r="C33" s="55">
        <f>C32+10*126</f>
        <v>7780</v>
      </c>
      <c r="D33" s="54">
        <f>$C33+D29</f>
        <v>7906</v>
      </c>
      <c r="E33" s="54">
        <f>$C33+E29</f>
        <v>8158</v>
      </c>
      <c r="F33" s="54">
        <f>$C33+F29</f>
        <v>8410</v>
      </c>
      <c r="G33" s="54">
        <f>$C33+G29</f>
        <v>8662</v>
      </c>
      <c r="H33" s="54">
        <f>$C33+H29</f>
        <v>8914</v>
      </c>
    </row>
    <row r="34" spans="1:8" x14ac:dyDescent="0.25">
      <c r="A34" s="54" t="s">
        <v>152</v>
      </c>
      <c r="C34" s="55">
        <f>C33+10*126</f>
        <v>9040</v>
      </c>
      <c r="D34" s="54">
        <f>$C34+D29</f>
        <v>9166</v>
      </c>
      <c r="E34" s="54">
        <f>$C34+E29</f>
        <v>9418</v>
      </c>
      <c r="F34" s="54">
        <f>$C34+F29</f>
        <v>9670</v>
      </c>
      <c r="G34" s="54">
        <f>$C34+G29</f>
        <v>9922</v>
      </c>
      <c r="H34" s="54">
        <f>$C34+H29</f>
        <v>10174</v>
      </c>
    </row>
    <row r="35" spans="1:8" x14ac:dyDescent="0.25">
      <c r="A35" s="54" t="s">
        <v>153</v>
      </c>
      <c r="C35" s="55">
        <f>C34+10*126</f>
        <v>10300</v>
      </c>
      <c r="D35" s="54">
        <f>$C35+D29</f>
        <v>10426</v>
      </c>
      <c r="E35" s="54">
        <f>$C35+E29</f>
        <v>10678</v>
      </c>
      <c r="F35" s="54">
        <f>$C35+F29</f>
        <v>10930</v>
      </c>
      <c r="G35" s="54">
        <f>$C35+G29</f>
        <v>11182</v>
      </c>
      <c r="H35" s="54">
        <f>$C35+H29</f>
        <v>11434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bl_coare_sweep</vt:lpstr>
      <vt:lpstr>aditya_comp</vt:lpstr>
      <vt:lpstr>slip_res</vt:lpstr>
      <vt:lpstr>spectrum farm</vt:lpstr>
      <vt:lpstr>boundary_layers&gt;ustar_u10</vt:lpstr>
      <vt:lpstr>bl_case_info</vt:lpstr>
      <vt:lpstr>fullh_info</vt:lpstr>
      <vt:lpstr>bl_case_info_old</vt:lpstr>
      <vt:lpstr>finite farm</vt:lpstr>
      <vt:lpstr>single turbine</vt:lpstr>
      <vt:lpstr>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Hannah Williams</cp:lastModifiedBy>
  <dcterms:created xsi:type="dcterms:W3CDTF">2022-03-09T18:10:35Z</dcterms:created>
  <dcterms:modified xsi:type="dcterms:W3CDTF">2026-04-21T02:05:26Z</dcterms:modified>
</cp:coreProperties>
</file>